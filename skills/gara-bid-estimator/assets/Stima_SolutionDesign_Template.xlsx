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FP Analysis" sheetId="2" state="visible" r:id="rId2"/>
    <sheet xmlns:r="http://schemas.openxmlformats.org/officeDocument/2006/relationships" name="Requirements &amp; Solution Mapping" sheetId="3" state="visible" r:id="rId3"/>
    <sheet xmlns:r="http://schemas.openxmlformats.org/officeDocument/2006/relationships" name="Prodotti &amp; Servizi Esterni" sheetId="4" state="visible" r:id="rId4"/>
    <sheet xmlns:r="http://schemas.openxmlformats.org/officeDocument/2006/relationships" name="Assumptions &amp; Risks" sheetId="5" state="visible" r:id="rId5"/>
    <sheet xmlns:r="http://schemas.openxmlformats.org/officeDocument/2006/relationships" name="QA Open Points" sheetId="6" state="visible" r:id="rId6"/>
    <sheet xmlns:r="http://schemas.openxmlformats.org/officeDocument/2006/relationships" name="Audit Trail" sheetId="7" state="visible" r:id="rId7"/>
  </sheets>
  <definedNames>
    <definedName name="_xlnm._FilterDatabase" localSheetId="2" hidden="1">'Requirements &amp; Solution Mapping'!$A$3:$L$20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&quot; €&quot;"/>
    <numFmt numFmtId="166" formatCode="0.0%"/>
    <numFmt numFmtId="167" formatCode="#,##0.00 €"/>
  </numFmts>
  <fonts count="3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808080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color rgb="FF000000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808080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F6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7F6000"/>
      <sz val="10"/>
    </font>
    <font>
      <name val="Arial"/>
      <charset val="1"/>
      <family val="2"/>
      <b val="1"/>
      <color rgb="FF375623"/>
      <sz val="10"/>
    </font>
    <font>
      <name val="Arial"/>
      <charset val="1"/>
      <family val="0"/>
      <b val="1"/>
      <color rgb="FF000000"/>
      <sz val="11"/>
    </font>
    <font>
      <name val="Calibri"/>
      <b val="1"/>
      <color rgb="00FFFFFF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sz val="11"/>
    </font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E2EFDA"/>
      </patternFill>
    </fill>
    <fill>
      <patternFill patternType="solid">
        <fgColor rgb="FF2E5FA3"/>
        <bgColor rgb="FF3366FF"/>
      </patternFill>
    </fill>
    <fill>
      <patternFill patternType="solid">
        <fgColor rgb="FFFFFFFF"/>
        <bgColor rgb="FFF2F2F2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00B050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C00000"/>
      </patternFill>
    </fill>
    <fill>
      <patternFill patternType="solid">
        <fgColor rgb="FFE2EFDA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00305496"/>
        <bgColor rgb="00305496"/>
      </patternFill>
    </fill>
    <fill>
      <patternFill patternType="solid">
        <fgColor rgb="00FFC000"/>
        <bgColor rgb="00FFC000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0" fillId="3" borderId="2" applyAlignment="1" pivotButton="0" quotePrefix="0" xfId="0">
      <alignment horizontal="general" vertical="top" wrapText="1"/>
    </xf>
    <xf numFmtId="0" fontId="1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left" vertical="center"/>
    </xf>
    <xf numFmtId="0" fontId="13" fillId="3" borderId="2" applyAlignment="1" pivotButton="0" quotePrefix="0" xfId="0">
      <alignment horizontal="general" vertical="top" wrapText="1"/>
    </xf>
    <xf numFmtId="164" fontId="11" fillId="6" borderId="2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general" vertical="center" wrapText="1"/>
    </xf>
    <xf numFmtId="0" fontId="13" fillId="5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5" fillId="2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3" fontId="9" fillId="5" borderId="3" applyAlignment="1" pivotButton="0" quotePrefix="0" xfId="0">
      <alignment horizontal="center" vertical="center"/>
    </xf>
    <xf numFmtId="165" fontId="9" fillId="5" borderId="3" applyAlignment="1" pivotButton="0" quotePrefix="0" xfId="0">
      <alignment horizontal="center" vertical="center"/>
    </xf>
    <xf numFmtId="10" fontId="9" fillId="5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left" vertical="center"/>
    </xf>
    <xf numFmtId="3" fontId="9" fillId="3" borderId="3" applyAlignment="1" pivotButton="0" quotePrefix="0" xfId="0">
      <alignment horizontal="center" vertical="center"/>
    </xf>
    <xf numFmtId="165" fontId="9" fillId="3" borderId="3" applyAlignment="1" pivotButton="0" quotePrefix="0" xfId="0">
      <alignment horizontal="center" vertical="center"/>
    </xf>
    <xf numFmtId="3" fontId="15" fillId="2" borderId="3" applyAlignment="1" pivotButton="0" quotePrefix="0" xfId="0">
      <alignment horizontal="center" vertical="center"/>
    </xf>
    <xf numFmtId="165" fontId="15" fillId="2" borderId="3" applyAlignment="1" pivotButton="0" quotePrefix="0" xfId="0">
      <alignment horizontal="center" vertical="center"/>
    </xf>
    <xf numFmtId="166" fontId="15" fillId="2" borderId="3" applyAlignment="1" pivotButton="0" quotePrefix="0" xfId="0">
      <alignment horizontal="center" vertical="center"/>
    </xf>
    <xf numFmtId="165" fontId="9" fillId="3" borderId="5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top" wrapText="1"/>
    </xf>
    <xf numFmtId="0" fontId="13" fillId="3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13" fillId="5" borderId="2" applyAlignment="1" pivotButton="0" quotePrefix="0" xfId="0">
      <alignment horizontal="left" vertical="top" wrapText="1"/>
    </xf>
    <xf numFmtId="0" fontId="11" fillId="3" borderId="2" applyAlignment="1" pivotButton="0" quotePrefix="0" xfId="0">
      <alignment horizontal="left" vertical="top" wrapText="1"/>
    </xf>
    <xf numFmtId="0" fontId="11" fillId="5" borderId="2" applyAlignment="1" pivotButton="0" quotePrefix="0" xfId="0">
      <alignment horizontal="left" vertical="top" wrapText="1"/>
    </xf>
    <xf numFmtId="0" fontId="7" fillId="4" borderId="0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general" vertical="top" wrapText="1"/>
    </xf>
    <xf numFmtId="0" fontId="11" fillId="8" borderId="2" applyAlignment="1" pivotButton="0" quotePrefix="0" xfId="0">
      <alignment horizontal="left" vertical="top" wrapText="1"/>
    </xf>
    <xf numFmtId="0" fontId="19" fillId="2" borderId="1" applyAlignment="1" pivotButton="0" quotePrefix="0" xfId="0">
      <alignment horizontal="center" vertical="center"/>
    </xf>
    <xf numFmtId="0" fontId="20" fillId="9" borderId="2" applyAlignment="1" pivotButton="0" quotePrefix="0" xfId="0">
      <alignment horizontal="center" vertical="center" wrapText="1"/>
    </xf>
    <xf numFmtId="0" fontId="21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2" fillId="3" borderId="1" applyAlignment="1" pivotButton="0" quotePrefix="0" xfId="0">
      <alignment horizontal="center" vertical="center"/>
    </xf>
    <xf numFmtId="0" fontId="15" fillId="2" borderId="3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left" vertical="center" wrapText="1"/>
    </xf>
    <xf numFmtId="0" fontId="23" fillId="8" borderId="3" applyAlignment="1" pivotButton="0" quotePrefix="0" xfId="0">
      <alignment horizontal="center" vertical="center"/>
    </xf>
    <xf numFmtId="3" fontId="8" fillId="6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 wrapText="1"/>
    </xf>
    <xf numFmtId="0" fontId="24" fillId="7" borderId="3" applyAlignment="1" pivotButton="0" quotePrefix="0" xfId="0">
      <alignment horizontal="center" vertical="center"/>
    </xf>
    <xf numFmtId="0" fontId="25" fillId="12" borderId="3" applyAlignment="1" pivotButton="0" quotePrefix="0" xfId="0">
      <alignment horizontal="center" vertical="center"/>
    </xf>
    <xf numFmtId="3" fontId="8" fillId="5" borderId="3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3" fontId="6" fillId="4" borderId="3" applyAlignment="1" pivotButton="0" quotePrefix="0" xfId="0">
      <alignment horizontal="center" vertical="center"/>
    </xf>
    <xf numFmtId="3" fontId="15" fillId="4" borderId="3" applyAlignment="1" pivotButton="0" quotePrefix="0" xfId="0">
      <alignment horizontal="center" vertical="center"/>
    </xf>
    <xf numFmtId="0" fontId="15" fillId="13" borderId="3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general" vertical="top" wrapText="1"/>
    </xf>
    <xf numFmtId="0" fontId="11" fillId="7" borderId="2" applyAlignment="1" pivotButton="0" quotePrefix="0" xfId="0">
      <alignment horizontal="general" vertical="top" wrapText="1"/>
    </xf>
    <xf numFmtId="0" fontId="11" fillId="6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general" vertical="top" wrapText="1"/>
    </xf>
    <xf numFmtId="0" fontId="21" fillId="3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general" vertical="top" wrapText="1"/>
    </xf>
    <xf numFmtId="0" fontId="17" fillId="9" borderId="2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general" vertical="top" wrapText="1"/>
    </xf>
    <xf numFmtId="0" fontId="26" fillId="10" borderId="2" applyAlignment="1" pivotButton="0" quotePrefix="0" xfId="0">
      <alignment horizontal="center" vertical="center" wrapText="1"/>
    </xf>
    <xf numFmtId="0" fontId="10" fillId="10" borderId="6" applyAlignment="1" pivotButton="0" quotePrefix="0" xfId="0">
      <alignment horizontal="general" vertical="top" wrapText="1"/>
    </xf>
    <xf numFmtId="0" fontId="17" fillId="11" borderId="2" applyAlignment="1" pivotButton="0" quotePrefix="0" xfId="0">
      <alignment horizontal="center" vertical="center" wrapText="1"/>
    </xf>
    <xf numFmtId="0" fontId="10" fillId="11" borderId="6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0" fillId="3" borderId="2" applyAlignment="1" pivotButton="0" quotePrefix="0" xfId="0">
      <alignment horizontal="general" vertical="top" wrapText="1"/>
    </xf>
    <xf numFmtId="0" fontId="1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left" vertical="center"/>
    </xf>
    <xf numFmtId="0" fontId="13" fillId="3" borderId="2" applyAlignment="1" pivotButton="0" quotePrefix="0" xfId="0">
      <alignment horizontal="general" vertical="top" wrapText="1"/>
    </xf>
    <xf numFmtId="164" fontId="11" fillId="6" borderId="2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5" borderId="0" applyAlignment="1" pivotButton="0" quotePrefix="0" xfId="0">
      <alignment horizontal="general" vertical="center" wrapText="1"/>
    </xf>
    <xf numFmtId="0" fontId="13" fillId="5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5" fillId="2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3" fontId="9" fillId="5" borderId="3" applyAlignment="1" pivotButton="0" quotePrefix="0" xfId="0">
      <alignment horizontal="center" vertical="center"/>
    </xf>
    <xf numFmtId="165" fontId="9" fillId="5" borderId="3" applyAlignment="1" pivotButton="0" quotePrefix="0" xfId="0">
      <alignment horizontal="center" vertical="center"/>
    </xf>
    <xf numFmtId="10" fontId="9" fillId="5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left" vertical="center"/>
    </xf>
    <xf numFmtId="3" fontId="9" fillId="3" borderId="3" applyAlignment="1" pivotButton="0" quotePrefix="0" xfId="0">
      <alignment horizontal="center" vertical="center"/>
    </xf>
    <xf numFmtId="165" fontId="9" fillId="3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3" fontId="9" fillId="3" borderId="3" applyAlignment="1" pivotButton="0" quotePrefix="0" xfId="0">
      <alignment horizontal="center" vertical="center"/>
    </xf>
    <xf numFmtId="165" fontId="9" fillId="3" borderId="3" applyAlignment="1" pivotButton="0" quotePrefix="0" xfId="0">
      <alignment horizontal="center" vertical="center"/>
    </xf>
    <xf numFmtId="10" fontId="9" fillId="5" borderId="3" applyAlignment="1" pivotButton="0" quotePrefix="0" xfId="0">
      <alignment horizontal="center" vertical="center"/>
    </xf>
    <xf numFmtId="0" fontId="10" fillId="3" borderId="2" applyAlignment="1" pivotButton="0" quotePrefix="0" xfId="0">
      <alignment horizontal="general" vertical="top" wrapText="1"/>
    </xf>
    <xf numFmtId="0" fontId="11" fillId="5" borderId="2" applyAlignment="1" pivotButton="0" quotePrefix="0" xfId="0">
      <alignment horizontal="center" vertical="center" wrapText="1"/>
    </xf>
    <xf numFmtId="0" fontId="15" fillId="2" borderId="3" applyAlignment="1" pivotButton="0" quotePrefix="0" xfId="0">
      <alignment horizontal="center" vertical="center"/>
    </xf>
    <xf numFmtId="3" fontId="15" fillId="2" borderId="3" applyAlignment="1" pivotButton="0" quotePrefix="0" xfId="0">
      <alignment horizontal="center" vertical="center"/>
    </xf>
    <xf numFmtId="165" fontId="15" fillId="2" borderId="3" applyAlignment="1" pivotButton="0" quotePrefix="0" xfId="0">
      <alignment horizontal="center" vertical="center"/>
    </xf>
    <xf numFmtId="166" fontId="15" fillId="2" borderId="3" applyAlignment="1" pivotButton="0" quotePrefix="0" xfId="0">
      <alignment horizontal="center" vertical="center"/>
    </xf>
    <xf numFmtId="0" fontId="10" fillId="5" borderId="2" applyAlignment="1" pivotButton="0" quotePrefix="0" xfId="0">
      <alignment horizontal="general" vertical="top" wrapText="1"/>
    </xf>
    <xf numFmtId="165" fontId="9" fillId="3" borderId="5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top" wrapText="1"/>
    </xf>
    <xf numFmtId="0" fontId="13" fillId="3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13" fillId="5" borderId="2" applyAlignment="1" pivotButton="0" quotePrefix="0" xfId="0">
      <alignment horizontal="left" vertical="top" wrapText="1"/>
    </xf>
    <xf numFmtId="0" fontId="11" fillId="3" borderId="2" applyAlignment="1" pivotButton="0" quotePrefix="0" xfId="0">
      <alignment horizontal="left" vertical="top" wrapText="1"/>
    </xf>
    <xf numFmtId="0" fontId="11" fillId="5" borderId="2" applyAlignment="1" pivotButton="0" quotePrefix="0" xfId="0">
      <alignment horizontal="left" vertical="top" wrapText="1"/>
    </xf>
    <xf numFmtId="0" fontId="7" fillId="4" borderId="0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general" vertical="top" wrapText="1"/>
    </xf>
    <xf numFmtId="0" fontId="11" fillId="8" borderId="2" applyAlignment="1" pivotButton="0" quotePrefix="0" xfId="0">
      <alignment horizontal="left" vertical="top" wrapText="1"/>
    </xf>
    <xf numFmtId="0" fontId="19" fillId="2" borderId="1" applyAlignment="1" pivotButton="0" quotePrefix="0" xfId="0">
      <alignment horizontal="center" vertical="center"/>
    </xf>
    <xf numFmtId="0" fontId="20" fillId="9" borderId="2" applyAlignment="1" pivotButton="0" quotePrefix="0" xfId="0">
      <alignment horizontal="center" vertical="center" wrapText="1"/>
    </xf>
    <xf numFmtId="0" fontId="21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2" fillId="3" borderId="1" applyAlignment="1" pivotButton="0" quotePrefix="0" xfId="0">
      <alignment horizontal="center" vertical="center"/>
    </xf>
    <xf numFmtId="0" fontId="15" fillId="2" borderId="3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left" vertical="center" wrapText="1"/>
    </xf>
    <xf numFmtId="0" fontId="23" fillId="8" borderId="3" applyAlignment="1" pivotButton="0" quotePrefix="0" xfId="0">
      <alignment horizontal="center" vertical="center"/>
    </xf>
    <xf numFmtId="3" fontId="8" fillId="6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 wrapText="1"/>
    </xf>
    <xf numFmtId="0" fontId="24" fillId="7" borderId="3" applyAlignment="1" pivotButton="0" quotePrefix="0" xfId="0">
      <alignment horizontal="center" vertical="center"/>
    </xf>
    <xf numFmtId="0" fontId="25" fillId="12" borderId="3" applyAlignment="1" pivotButton="0" quotePrefix="0" xfId="0">
      <alignment horizontal="center" vertical="center"/>
    </xf>
    <xf numFmtId="3" fontId="8" fillId="5" borderId="3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3" fontId="6" fillId="4" borderId="3" applyAlignment="1" pivotButton="0" quotePrefix="0" xfId="0">
      <alignment horizontal="center" vertical="center"/>
    </xf>
    <xf numFmtId="3" fontId="15" fillId="4" borderId="3" applyAlignment="1" pivotButton="0" quotePrefix="0" xfId="0">
      <alignment horizontal="center" vertical="center"/>
    </xf>
    <xf numFmtId="3" fontId="15" fillId="2" borderId="3" applyAlignment="1" pivotButton="0" quotePrefix="0" xfId="0">
      <alignment horizontal="center" vertical="center"/>
    </xf>
    <xf numFmtId="0" fontId="27" fillId="14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29" fillId="14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top" wrapText="1"/>
    </xf>
    <xf numFmtId="167" fontId="0" fillId="0" borderId="12" applyAlignment="1" pivotButton="0" quotePrefix="0" xfId="0">
      <alignment horizontal="left" vertical="top" wrapText="1"/>
    </xf>
    <xf numFmtId="0" fontId="30" fillId="15" borderId="12" pivotButton="0" quotePrefix="0" xfId="0"/>
    <xf numFmtId="0" fontId="0" fillId="15" borderId="12" pivotButton="0" quotePrefix="0" xfId="0"/>
    <xf numFmtId="0" fontId="30" fillId="15" borderId="12" applyAlignment="1" pivotButton="0" quotePrefix="0" xfId="0">
      <alignment horizontal="right" vertical="center"/>
    </xf>
    <xf numFmtId="167" fontId="30" fillId="15" borderId="12" pivotButton="0" quotePrefix="0" xfId="0"/>
    <xf numFmtId="0" fontId="15" fillId="13" borderId="3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general" vertical="top" wrapText="1"/>
    </xf>
    <xf numFmtId="0" fontId="11" fillId="7" borderId="2" applyAlignment="1" pivotButton="0" quotePrefix="0" xfId="0">
      <alignment horizontal="general" vertical="top" wrapText="1"/>
    </xf>
    <xf numFmtId="0" fontId="11" fillId="6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general" vertical="top" wrapText="1"/>
    </xf>
    <xf numFmtId="0" fontId="21" fillId="3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general" vertical="top" wrapText="1"/>
    </xf>
    <xf numFmtId="0" fontId="17" fillId="9" borderId="2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general" vertical="top" wrapText="1"/>
    </xf>
    <xf numFmtId="0" fontId="26" fillId="10" borderId="2" applyAlignment="1" pivotButton="0" quotePrefix="0" xfId="0">
      <alignment horizontal="center" vertical="center" wrapText="1"/>
    </xf>
    <xf numFmtId="0" fontId="10" fillId="10" borderId="6" applyAlignment="1" pivotButton="0" quotePrefix="0" xfId="0">
      <alignment horizontal="general" vertical="top" wrapText="1"/>
    </xf>
    <xf numFmtId="0" fontId="17" fillId="11" borderId="2" applyAlignment="1" pivotButton="0" quotePrefix="0" xfId="0">
      <alignment horizontal="center" vertical="center" wrapText="1"/>
    </xf>
    <xf numFmtId="0" fontId="10" fillId="11" borderId="6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6E4F0"/>
      <rgbColor rgb="FF660066"/>
      <rgbColor rgb="FFFF8080"/>
      <rgbColor rgb="FF2E5FA3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11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8.66796875" defaultRowHeight="15" zeroHeight="0" outlineLevelRow="0"/>
  <cols>
    <col width="28" customWidth="1" style="79" min="1" max="1"/>
    <col width="14" customWidth="1" style="79" min="2" max="2"/>
    <col width="18" customWidth="1" style="79" min="3" max="4"/>
    <col width="22.33" customWidth="1" style="79" min="5" max="5"/>
    <col width="22" customWidth="1" style="79" min="6" max="6"/>
    <col width="18" customWidth="1" style="79" min="7" max="7"/>
    <col width="16" customWidth="1" style="79" min="8" max="8"/>
    <col width="24" customWidth="1" style="79" min="9" max="9"/>
    <col width="12" customWidth="1" style="79" min="10" max="10"/>
  </cols>
  <sheetData>
    <row r="1" ht="36" customHeight="1" s="80">
      <c r="A1" s="81" t="inlineStr">
        <is>
          <t>DOCUMENTO DI STIMA — SOLUTION DESIGN PRELIMINARE</t>
        </is>
      </c>
    </row>
    <row r="2" ht="18" customHeight="1" s="80">
      <c r="A2" s="82" t="inlineStr">
        <is>
          <t>Strumento di Stima per Gare d'Appalto IT | Template PMO/Solution Architect</t>
        </is>
      </c>
    </row>
    <row r="4" ht="15" customHeight="1" s="80">
      <c r="A4" s="83" t="inlineStr">
        <is>
          <t>DATI DI PROGETTO</t>
        </is>
      </c>
      <c r="B4" s="84" t="n"/>
      <c r="C4" s="84" t="n"/>
      <c r="D4" s="84" t="n"/>
      <c r="E4" s="84" t="n"/>
      <c r="F4" s="84" t="n"/>
      <c r="G4" s="84" t="n"/>
      <c r="H4" s="84" t="n"/>
      <c r="I4" s="85" t="inlineStr">
        <is>
          <t>Fonte / Pag.</t>
        </is>
      </c>
      <c r="J4" s="85" t="inlineStr">
        <is>
          <t>Certezza</t>
        </is>
      </c>
    </row>
    <row r="5" ht="15" customHeight="1" s="80">
      <c r="A5" s="86" t="inlineStr">
        <is>
          <t>Nome Gara / Progetto:</t>
        </is>
      </c>
      <c r="B5" s="87" t="n"/>
      <c r="C5" s="84" t="n"/>
      <c r="D5" s="84" t="n"/>
      <c r="E5" s="86" t="inlineStr">
        <is>
          <t>Scadenza Offerta:</t>
        </is>
      </c>
      <c r="F5" s="87" t="n"/>
      <c r="G5" s="84" t="n"/>
      <c r="H5" s="84" t="n"/>
      <c r="I5" s="88" t="n"/>
      <c r="J5" s="89" t="n"/>
    </row>
    <row r="6" ht="15" customHeight="1" s="80">
      <c r="A6" s="86" t="inlineStr">
        <is>
          <t>Cliente:</t>
        </is>
      </c>
      <c r="B6" s="87" t="n"/>
      <c r="C6" s="84" t="n"/>
      <c r="D6" s="84" t="n"/>
      <c r="E6" s="86" t="inlineStr">
        <is>
          <t>Referente Cliente:</t>
        </is>
      </c>
      <c r="F6" s="87" t="n"/>
      <c r="G6" s="84" t="n"/>
      <c r="H6" s="84" t="n"/>
      <c r="I6" s="90" t="n"/>
      <c r="J6" s="89" t="n"/>
    </row>
    <row r="7" ht="15" customHeight="1" s="80">
      <c r="A7" s="86" t="inlineStr">
        <is>
          <t>Referente Interno:</t>
        </is>
      </c>
      <c r="B7" s="87" t="n"/>
      <c r="C7" s="84" t="n"/>
      <c r="D7" s="84" t="n"/>
      <c r="E7" s="86" t="inlineStr">
        <is>
          <t>Budget Indicativo (€):</t>
        </is>
      </c>
      <c r="F7" s="87" t="n"/>
      <c r="G7" s="84" t="n"/>
      <c r="H7" s="84" t="n"/>
      <c r="I7" s="88" t="n"/>
      <c r="J7" s="89" t="n"/>
    </row>
    <row r="8" ht="15" customHeight="1" s="80">
      <c r="A8" s="86" t="inlineStr">
        <is>
          <t>Data Elaborazione:</t>
        </is>
      </c>
      <c r="B8" s="87" t="n"/>
      <c r="C8" s="84" t="n"/>
      <c r="D8" s="84" t="n"/>
      <c r="E8" s="86" t="inlineStr">
        <is>
          <t>Durata Stimata (mesi):</t>
        </is>
      </c>
      <c r="F8" s="87" t="n"/>
      <c r="G8" s="84" t="n"/>
      <c r="H8" s="84" t="n"/>
      <c r="I8" s="90" t="n"/>
      <c r="J8" s="89" t="n"/>
    </row>
    <row r="9" ht="15" customHeight="1" s="80">
      <c r="A9" s="86" t="inlineStr">
        <is>
          <t>Versione:</t>
        </is>
      </c>
      <c r="B9" s="87" t="inlineStr">
        <is>
          <t>v1.0</t>
        </is>
      </c>
      <c r="C9" s="84" t="n"/>
      <c r="D9" s="84" t="n"/>
      <c r="E9" s="86" t="inlineStr">
        <is>
          <t>Tipologia Appalto:</t>
        </is>
      </c>
      <c r="F9" s="87" t="n"/>
      <c r="G9" s="84" t="n"/>
      <c r="H9" s="84" t="n"/>
      <c r="I9" s="88" t="n"/>
      <c r="J9" s="89" t="n"/>
    </row>
    <row r="10" ht="15" customHeight="1" s="80">
      <c r="A10" s="86" t="inlineStr">
        <is>
          <t>Stato:</t>
        </is>
      </c>
      <c r="B10" s="91" t="inlineStr">
        <is>
          <t>BOZZA</t>
        </is>
      </c>
      <c r="C10" s="84" t="n"/>
      <c r="D10" s="84" t="n"/>
      <c r="E10" s="86" t="inlineStr">
        <is>
          <t>Codice Gara:</t>
        </is>
      </c>
      <c r="F10" s="87" t="n"/>
      <c r="G10" s="84" t="n"/>
      <c r="H10" s="84" t="n"/>
      <c r="I10" s="90" t="n"/>
      <c r="J10" s="89" t="n"/>
    </row>
    <row r="11" ht="21.75" customHeight="1" s="80">
      <c r="A11" s="92" t="inlineStr">
        <is>
          <t>Data sottomissione domande:</t>
        </is>
      </c>
      <c r="B11" s="93" t="n"/>
      <c r="C11" s="94" t="n"/>
      <c r="D11" s="95" t="n"/>
      <c r="E11" s="96" t="inlineStr">
        <is>
          <t>Deadline per richiesta chiarimenti al RUP/SA prima della scadenza offerta</t>
        </is>
      </c>
      <c r="I11" s="88" t="n"/>
      <c r="J11" s="89" t="n"/>
    </row>
    <row r="12" ht="21.75" customHeight="1" s="80">
      <c r="A12" s="97" t="inlineStr">
        <is>
          <t>Data consegna offerta:</t>
        </is>
      </c>
      <c r="B12" s="93" t="n"/>
      <c r="C12" s="94" t="n"/>
      <c r="D12" s="95" t="n"/>
      <c r="E12" s="96" t="inlineStr">
        <is>
          <t>Data limite per la presentazione dell'offerta tecnica ed economica</t>
        </is>
      </c>
      <c r="I12" s="88" t="n"/>
      <c r="J12" s="89" t="n"/>
    </row>
    <row r="13" ht="15" customHeight="1" s="80">
      <c r="A13" s="79" t="n"/>
      <c r="J13" s="89" t="n"/>
    </row>
    <row r="14" ht="15" customHeight="1" s="80">
      <c r="J14" s="89" t="n"/>
    </row>
    <row r="15" ht="15" customHeight="1" s="80">
      <c r="A15" s="83" t="inlineStr">
        <is>
          <t>RIEPILOGO ECONOMICO</t>
        </is>
      </c>
      <c r="B15" s="98" t="n"/>
      <c r="C15" s="98" t="n"/>
      <c r="D15" s="98" t="n"/>
      <c r="E15" s="98" t="n"/>
      <c r="F15" s="98" t="n"/>
      <c r="G15" s="98" t="n"/>
      <c r="H15" s="98" t="n"/>
      <c r="I15" s="88" t="n"/>
      <c r="J15" s="89" t="n"/>
    </row>
    <row r="16" ht="15" customHeight="1" s="80">
      <c r="A16" s="99" t="inlineStr">
        <is>
          <t>FASE</t>
        </is>
      </c>
      <c r="B16" s="99" t="inlineStr">
        <is>
          <t>GG/U TOTALI</t>
        </is>
      </c>
      <c r="C16" s="99" t="inlineStr">
        <is>
          <t>TARIFFA MEDIA (€)</t>
        </is>
      </c>
      <c r="D16" s="99" t="inlineStr">
        <is>
          <t>COSTO FASE (€)</t>
        </is>
      </c>
      <c r="E16" s="99" t="inlineStr">
        <is>
          <t>% SUL TOTALE</t>
        </is>
      </c>
      <c r="I16" s="90" t="n"/>
      <c r="J16" s="89" t="n"/>
    </row>
    <row r="17" ht="15" customHeight="1" s="80">
      <c r="A17" s="100" t="inlineStr">
        <is>
          <t>Design</t>
        </is>
      </c>
      <c r="B17" s="101">
        <f>B18*25%</f>
        <v/>
      </c>
      <c r="C17" s="102" t="n">
        <v>400</v>
      </c>
      <c r="D17" s="102">
        <f>B17*C17</f>
        <v/>
      </c>
      <c r="E17" s="103">
        <f>IFERROR(D17/SUM($D$17:$D$26),0)</f>
        <v/>
      </c>
      <c r="I17" s="88" t="n"/>
      <c r="J17" s="89" t="n"/>
    </row>
    <row r="18" ht="15" customHeight="1" s="80">
      <c r="A18" s="104" t="inlineStr">
        <is>
          <t>Build</t>
        </is>
      </c>
      <c r="B18" s="105">
        <f>'Requirements &amp; Solution Mapping'!J21</f>
        <v/>
      </c>
      <c r="C18" s="106" t="n">
        <v>300</v>
      </c>
      <c r="D18" s="106">
        <f>B18*C18</f>
        <v/>
      </c>
      <c r="E18" s="103">
        <f>IFERROR(D18/SUM($D$17:$D$26),0)</f>
        <v/>
      </c>
      <c r="I18" s="90" t="n"/>
      <c r="J18" s="89" t="n"/>
    </row>
    <row r="19" ht="15" customHeight="1" s="80">
      <c r="A19" s="100" t="inlineStr">
        <is>
          <t>Test &amp; QA</t>
        </is>
      </c>
      <c r="B19" s="101">
        <f>B18*25%</f>
        <v/>
      </c>
      <c r="C19" s="102" t="n">
        <v>400</v>
      </c>
      <c r="D19" s="102">
        <f>B19*C19</f>
        <v/>
      </c>
      <c r="E19" s="103">
        <f>IFERROR(D19/SUM($D$17:$D$26),0)</f>
        <v/>
      </c>
      <c r="I19" s="88" t="n"/>
      <c r="J19" s="89" t="n"/>
    </row>
    <row r="20" ht="15" customHeight="1" s="80">
      <c r="A20" s="104" t="inlineStr">
        <is>
          <t>Deploy &amp; Go-Live</t>
        </is>
      </c>
      <c r="B20" s="105">
        <f>B18*3%</f>
        <v/>
      </c>
      <c r="C20" s="106" t="n">
        <v>300</v>
      </c>
      <c r="D20" s="106">
        <f>B20*C20</f>
        <v/>
      </c>
      <c r="E20" s="103">
        <f>IFERROR(D20/SUM($D$17:$D$26),0)</f>
        <v/>
      </c>
      <c r="I20" s="90" t="n"/>
      <c r="J20" s="89" t="n"/>
    </row>
    <row r="21" ht="15" customHeight="1" s="80">
      <c r="A21" s="100" t="inlineStr">
        <is>
          <t>PMO &amp; Governance</t>
        </is>
      </c>
      <c r="B21" s="101">
        <f>B18*10%</f>
        <v/>
      </c>
      <c r="C21" s="102" t="n">
        <v>500</v>
      </c>
      <c r="D21" s="102">
        <f>B21*C21</f>
        <v/>
      </c>
      <c r="E21" s="103">
        <f>IFERROR(D21/SUM($D$17:$D$26),0)</f>
        <v/>
      </c>
      <c r="I21" s="88" t="n"/>
      <c r="J21" s="89" t="n"/>
    </row>
    <row r="22" ht="15" customHeight="1" s="80">
      <c r="A22" s="100" t="inlineStr">
        <is>
          <t>Infrastruttura e DevOps</t>
        </is>
      </c>
      <c r="B22" s="101">
        <f>B18*60%</f>
        <v/>
      </c>
      <c r="C22" s="102" t="n">
        <v>400</v>
      </c>
      <c r="D22" s="102">
        <f>B22*C22</f>
        <v/>
      </c>
      <c r="E22" s="103">
        <f>IFERROR(D22/SUM($D$17:$D$26),0)</f>
        <v/>
      </c>
      <c r="I22" s="90" t="n"/>
      <c r="J22" s="89" t="n"/>
    </row>
    <row r="23" ht="15" customHeight="1" s="80">
      <c r="A23" s="104" t="inlineStr">
        <is>
          <t>Test Accessibilità</t>
        </is>
      </c>
      <c r="B23" s="105" t="inlineStr">
        <is>
          <t>NA</t>
        </is>
      </c>
      <c r="C23" s="106" t="inlineStr">
        <is>
          <t>NA</t>
        </is>
      </c>
      <c r="D23" s="106" t="n">
        <v>10000</v>
      </c>
      <c r="E23" s="103">
        <f>IFERROR(D23/SUM($D$17:$D$26),0)</f>
        <v/>
      </c>
      <c r="I23" s="88" t="n"/>
      <c r="J23" s="89" t="n"/>
    </row>
    <row r="24" ht="15" customHeight="1" s="80">
      <c r="A24" s="100" t="inlineStr">
        <is>
          <t>Test Sicurezza</t>
        </is>
      </c>
      <c r="B24" s="105" t="inlineStr">
        <is>
          <t>NA</t>
        </is>
      </c>
      <c r="C24" s="106" t="inlineStr">
        <is>
          <t>NA</t>
        </is>
      </c>
      <c r="D24" s="106" t="n">
        <v>40000</v>
      </c>
      <c r="E24" s="103">
        <f>IFERROR(D24/SUM($D$17:$D$26),0)</f>
        <v/>
      </c>
      <c r="I24" s="90" t="n"/>
      <c r="J24" s="89" t="n"/>
    </row>
    <row r="25" ht="15" customHeight="1" s="80">
      <c r="A25" s="100" t="inlineStr">
        <is>
          <t>Test Performance</t>
        </is>
      </c>
      <c r="B25" s="105" t="inlineStr">
        <is>
          <t>NA</t>
        </is>
      </c>
      <c r="C25" s="106" t="inlineStr">
        <is>
          <t>NA</t>
        </is>
      </c>
      <c r="D25" s="106" t="n">
        <v>25000</v>
      </c>
      <c r="E25" s="103">
        <f>IFERROR(D25/SUM($D$17:$D$26),0)</f>
        <v/>
      </c>
      <c r="I25" s="88" t="n"/>
      <c r="J25" s="89" t="n"/>
    </row>
    <row r="26" ht="15" customHeight="1" s="80">
      <c r="A26" s="107" t="inlineStr">
        <is>
          <t>Costi prodotti/servizi esterni</t>
        </is>
      </c>
      <c r="B26" s="108" t="inlineStr">
        <is>
          <t>NA</t>
        </is>
      </c>
      <c r="C26" s="109" t="inlineStr">
        <is>
          <t>NA</t>
        </is>
      </c>
      <c r="D26" s="109">
        <f>IFERROR(VLOOKUP("TOTALE",'Prodotti &amp; Servizi Esterni'!A:F,6,FALSE),0)</f>
        <v/>
      </c>
      <c r="E26" s="110">
        <f>IFERROR(D26/SUM($D$17:$D$26),0)</f>
        <v/>
      </c>
      <c r="I26" s="111" t="n"/>
      <c r="J26" s="112" t="n"/>
    </row>
    <row r="27" ht="15" customHeight="1" s="80">
      <c r="A27" s="113" t="inlineStr">
        <is>
          <t>TOTALE PROGETTO</t>
        </is>
      </c>
      <c r="B27" s="114">
        <f>SUM(B17:B26)</f>
        <v/>
      </c>
      <c r="C27" s="115">
        <f>IFERROR(D27/B27,0)</f>
        <v/>
      </c>
      <c r="D27" s="115">
        <f>SUM(D17:D26)</f>
        <v/>
      </c>
      <c r="E27" s="116">
        <f>SUM(E17:E26)</f>
        <v/>
      </c>
      <c r="I27" s="117" t="n"/>
      <c r="J27" s="112" t="n"/>
    </row>
    <row r="28" ht="15" customHeight="1" s="80">
      <c r="C28" s="118" t="inlineStr">
        <is>
          <t>Contingency (20%)</t>
        </is>
      </c>
      <c r="D28" s="119">
        <f>D27*20%</f>
        <v/>
      </c>
      <c r="J28" s="112" t="n"/>
    </row>
    <row r="29" ht="15" customHeight="1" s="80">
      <c r="C29" s="118" t="inlineStr">
        <is>
          <t>Totale</t>
        </is>
      </c>
      <c r="D29" s="119">
        <f>SUM(D27:D28)</f>
        <v/>
      </c>
      <c r="J29" s="112" t="n"/>
    </row>
    <row r="30">
      <c r="C30" s="118" t="inlineStr">
        <is>
          <t>Revenue</t>
        </is>
      </c>
      <c r="D30" s="119">
        <f>D29*2</f>
        <v/>
      </c>
      <c r="J30" s="112" t="n"/>
    </row>
  </sheetData>
  <mergeCells count="20">
    <mergeCell ref="B11:D11"/>
    <mergeCell ref="F5:H5"/>
    <mergeCell ref="B8:D8"/>
    <mergeCell ref="F8:H8"/>
    <mergeCell ref="A1:H1"/>
    <mergeCell ref="B10:D10"/>
    <mergeCell ref="E12:H12"/>
    <mergeCell ref="B9:D9"/>
    <mergeCell ref="F9:H9"/>
    <mergeCell ref="B6:D6"/>
    <mergeCell ref="B5:D5"/>
    <mergeCell ref="A2:H2"/>
    <mergeCell ref="B7:D7"/>
    <mergeCell ref="A4:H4"/>
    <mergeCell ref="F10:H10"/>
    <mergeCell ref="F6:H6"/>
    <mergeCell ref="A13:H13"/>
    <mergeCell ref="F7:H7"/>
    <mergeCell ref="B12:D12"/>
    <mergeCell ref="E11:H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79" min="1" max="1"/>
    <col width="20" customWidth="1" style="79" min="2" max="2"/>
    <col width="12" customWidth="1" style="79" min="3" max="3"/>
    <col width="14" customWidth="1" style="79" min="4" max="6"/>
    <col width="18" customWidth="1" style="79" min="7" max="8"/>
    <col width="28" customWidth="1" style="79" min="9" max="9"/>
    <col width="12" customWidth="1" style="79" min="10" max="10"/>
  </cols>
  <sheetData>
    <row r="1" ht="25.5" customHeight="1" s="80">
      <c r="A1" s="120" t="inlineStr">
        <is>
          <t>ANALISI RFP — DATI STRATEGICI DELLA GARA</t>
        </is>
      </c>
    </row>
    <row r="2" ht="15.75" customHeight="1" s="80">
      <c r="A2" s="121" t="inlineStr">
        <is>
          <t>Compilato da gara-rfp-analyzer · Dati estratti dal documento di gara originale</t>
        </is>
      </c>
      <c r="I2" s="122" t="inlineStr">
        <is>
          <t>Fonte / pag. bando</t>
        </is>
      </c>
    </row>
    <row r="4" ht="19.5" customHeight="1" s="80">
      <c r="A4" s="123" t="inlineStr">
        <is>
          <t>SEZIONE 1 — VALORE ECONOMICO</t>
        </is>
      </c>
      <c r="I4" s="124" t="n"/>
      <c r="J4" s="89" t="n"/>
    </row>
    <row r="5" ht="18" customHeight="1" s="80">
      <c r="A5" s="125" t="inlineStr">
        <is>
          <t>Importo base d'asta (€ netto IVA)</t>
        </is>
      </c>
      <c r="B5" s="126" t="n"/>
      <c r="C5" s="94" t="n"/>
      <c r="D5" s="94" t="n"/>
      <c r="E5" s="94" t="n"/>
      <c r="F5" s="94" t="n"/>
      <c r="G5" s="94" t="n"/>
      <c r="H5" s="95" t="n"/>
      <c r="I5" s="124" t="n"/>
      <c r="J5" s="89" t="n"/>
    </row>
    <row r="6" ht="18" customHeight="1" s="80">
      <c r="A6" s="127" t="inlineStr">
        <is>
          <t>Massimale contratto (€)</t>
        </is>
      </c>
      <c r="B6" s="126" t="n"/>
      <c r="C6" s="94" t="n"/>
      <c r="D6" s="94" t="n"/>
      <c r="E6" s="94" t="n"/>
      <c r="F6" s="94" t="n"/>
      <c r="G6" s="94" t="n"/>
      <c r="H6" s="95" t="n"/>
      <c r="I6" s="124" t="n"/>
      <c r="J6" s="89" t="n"/>
    </row>
    <row r="7" ht="18" customHeight="1" s="80">
      <c r="A7" s="125" t="inlineStr">
        <is>
          <t>Durata contratto (mesi)</t>
        </is>
      </c>
      <c r="B7" s="126" t="n"/>
      <c r="C7" s="94" t="n"/>
      <c r="D7" s="94" t="n"/>
      <c r="E7" s="94" t="n"/>
      <c r="F7" s="94" t="n"/>
      <c r="G7" s="94" t="n"/>
      <c r="H7" s="95" t="n"/>
      <c r="I7" s="124" t="n"/>
      <c r="J7" s="89" t="n"/>
    </row>
    <row r="8" ht="18" customHeight="1" s="80">
      <c r="A8" s="127" t="inlineStr">
        <is>
          <t>Opzioni di rinnovo</t>
        </is>
      </c>
      <c r="B8" s="126" t="n"/>
      <c r="C8" s="94" t="n"/>
      <c r="D8" s="94" t="n"/>
      <c r="E8" s="94" t="n"/>
      <c r="F8" s="94" t="n"/>
      <c r="G8" s="94" t="n"/>
      <c r="H8" s="95" t="n"/>
      <c r="I8" s="124" t="n"/>
      <c r="J8" s="89" t="n"/>
    </row>
    <row r="9" ht="18" customHeight="1" s="80">
      <c r="A9" s="125" t="inlineStr">
        <is>
          <t>Modalità prezzi</t>
        </is>
      </c>
      <c r="B9" s="126" t="n"/>
      <c r="C9" s="94" t="n"/>
      <c r="D9" s="94" t="n"/>
      <c r="E9" s="94" t="n"/>
      <c r="F9" s="94" t="n"/>
      <c r="G9" s="94" t="n"/>
      <c r="H9" s="95" t="n"/>
      <c r="I9" s="124" t="n"/>
      <c r="J9" s="89" t="n"/>
    </row>
    <row r="10" ht="15" customHeight="1" s="80">
      <c r="J10" s="89" t="n"/>
    </row>
    <row r="11" ht="19.5" customHeight="1" s="80">
      <c r="A11" s="123" t="inlineStr">
        <is>
          <t>SEZIONE 2 — CRITERI DI AGGIUDICAZIONE</t>
        </is>
      </c>
      <c r="I11" s="124" t="n"/>
      <c r="J11" s="89" t="n"/>
    </row>
    <row r="12" ht="18" customHeight="1" s="80">
      <c r="A12" s="85" t="inlineStr">
        <is>
          <t>Criterio</t>
        </is>
      </c>
      <c r="B12" s="85" t="inlineStr">
        <is>
          <t>Punteggio max</t>
        </is>
      </c>
      <c r="C12" s="85" t="inlineStr">
        <is>
          <t>Peso %</t>
        </is>
      </c>
      <c r="D12" s="85" t="inlineStr">
        <is>
          <t>Priorità</t>
        </is>
      </c>
      <c r="E12" s="85" t="inlineStr">
        <is>
          <t>Sotto-criteri / Note</t>
        </is>
      </c>
      <c r="I12" s="124" t="n"/>
      <c r="J12" s="89" t="n"/>
    </row>
    <row r="13" ht="18" customHeight="1" s="80">
      <c r="A13" s="128" t="n"/>
      <c r="B13" s="128" t="n"/>
      <c r="C13" s="128" t="n"/>
      <c r="D13" s="128" t="n"/>
      <c r="E13" s="128" t="n"/>
      <c r="F13" s="94" t="n"/>
      <c r="G13" s="94" t="n"/>
      <c r="H13" s="95" t="n"/>
      <c r="J13" s="89" t="n"/>
    </row>
    <row r="14" ht="18" customHeight="1" s="80">
      <c r="A14" s="129" t="n"/>
      <c r="B14" s="129" t="n"/>
      <c r="C14" s="129" t="n"/>
      <c r="D14" s="129" t="n"/>
      <c r="E14" s="129" t="n"/>
      <c r="F14" s="94" t="n"/>
      <c r="G14" s="94" t="n"/>
      <c r="H14" s="95" t="n"/>
      <c r="J14" s="89" t="n"/>
    </row>
    <row r="15" ht="18" customHeight="1" s="80">
      <c r="A15" s="128" t="n"/>
      <c r="B15" s="128" t="n"/>
      <c r="C15" s="128" t="n"/>
      <c r="D15" s="128" t="n"/>
      <c r="E15" s="128" t="n"/>
      <c r="F15" s="94" t="n"/>
      <c r="G15" s="94" t="n"/>
      <c r="H15" s="95" t="n"/>
      <c r="J15" s="89" t="n"/>
    </row>
    <row r="16" ht="18" customHeight="1" s="80">
      <c r="A16" s="129" t="n"/>
      <c r="B16" s="129" t="n"/>
      <c r="C16" s="129" t="n"/>
      <c r="D16" s="129" t="n"/>
      <c r="E16" s="129" t="n"/>
      <c r="F16" s="94" t="n"/>
      <c r="G16" s="94" t="n"/>
      <c r="H16" s="95" t="n"/>
      <c r="J16" s="89" t="n"/>
    </row>
    <row r="17" ht="18" customHeight="1" s="80">
      <c r="A17" s="128" t="n"/>
      <c r="B17" s="128" t="n"/>
      <c r="C17" s="128" t="n"/>
      <c r="D17" s="128" t="n"/>
      <c r="E17" s="128" t="n"/>
      <c r="F17" s="94" t="n"/>
      <c r="G17" s="94" t="n"/>
      <c r="H17" s="95" t="n"/>
      <c r="J17" s="89" t="n"/>
    </row>
    <row r="18" ht="18" customHeight="1" s="80">
      <c r="A18" s="129" t="n"/>
      <c r="B18" s="129" t="n"/>
      <c r="C18" s="129" t="n"/>
      <c r="D18" s="129" t="n"/>
      <c r="E18" s="129" t="n"/>
      <c r="F18" s="94" t="n"/>
      <c r="G18" s="94" t="n"/>
      <c r="H18" s="95" t="n"/>
      <c r="J18" s="89" t="n"/>
    </row>
    <row r="19" ht="15" customHeight="1" s="80">
      <c r="J19" s="89" t="n"/>
    </row>
    <row r="20" ht="18" customHeight="1" s="80">
      <c r="A20" s="130" t="inlineStr">
        <is>
          <t>RACCOMANDAZIONE STRATEGICA</t>
        </is>
      </c>
      <c r="I20" s="124" t="n"/>
      <c r="J20" s="89" t="n"/>
    </row>
    <row r="21" ht="36" customHeight="1" s="80">
      <c r="A21" s="131" t="n"/>
      <c r="B21" s="94" t="n"/>
      <c r="C21" s="94" t="n"/>
      <c r="D21" s="94" t="n"/>
      <c r="E21" s="94" t="n"/>
      <c r="F21" s="94" t="n"/>
      <c r="G21" s="94" t="n"/>
      <c r="H21" s="94" t="n"/>
      <c r="J21" s="89" t="n"/>
    </row>
    <row r="22" ht="15" customHeight="1" s="80">
      <c r="J22" s="89" t="n"/>
    </row>
    <row r="23" ht="19.5" customHeight="1" s="80">
      <c r="A23" s="123" t="inlineStr">
        <is>
          <t>SEZIONE 3 — FORMATO RISPOSTA RICHIESTO</t>
        </is>
      </c>
      <c r="I23" s="124" t="n"/>
      <c r="J23" s="89" t="n"/>
    </row>
    <row r="24" ht="18" customHeight="1" s="80">
      <c r="A24" s="125" t="inlineStr">
        <is>
          <t>Offerta tecnica richiesta</t>
        </is>
      </c>
      <c r="B24" s="126" t="n"/>
      <c r="C24" s="94" t="n"/>
      <c r="D24" s="94" t="n"/>
      <c r="E24" s="94" t="n"/>
      <c r="F24" s="94" t="n"/>
      <c r="G24" s="94" t="n"/>
      <c r="H24" s="95" t="n"/>
      <c r="I24" s="124" t="n"/>
      <c r="J24" s="89" t="n"/>
    </row>
    <row r="25" ht="18" customHeight="1" s="80">
      <c r="A25" s="127" t="inlineStr">
        <is>
          <t>Offerta economica richiesta</t>
        </is>
      </c>
      <c r="B25" s="126" t="n"/>
      <c r="C25" s="94" t="n"/>
      <c r="D25" s="94" t="n"/>
      <c r="E25" s="94" t="n"/>
      <c r="F25" s="94" t="n"/>
      <c r="G25" s="94" t="n"/>
      <c r="H25" s="95" t="n"/>
      <c r="I25" s="124" t="n"/>
      <c r="J25" s="89" t="n"/>
    </row>
    <row r="26" ht="18" customHeight="1" s="80">
      <c r="A26" s="125" t="inlineStr">
        <is>
          <t>Stima GG/U richiesta</t>
        </is>
      </c>
      <c r="B26" s="126" t="n"/>
      <c r="C26" s="94" t="n"/>
      <c r="D26" s="94" t="n"/>
      <c r="E26" s="94" t="n"/>
      <c r="F26" s="94" t="n"/>
      <c r="G26" s="94" t="n"/>
      <c r="H26" s="95" t="n"/>
      <c r="I26" s="124" t="n"/>
      <c r="J26" s="89" t="n"/>
    </row>
    <row r="27" ht="18" customHeight="1" s="80">
      <c r="A27" s="127" t="inlineStr">
        <is>
          <t>Piano di progetto richiesto</t>
        </is>
      </c>
      <c r="B27" s="126" t="n"/>
      <c r="C27" s="94" t="n"/>
      <c r="D27" s="94" t="n"/>
      <c r="E27" s="94" t="n"/>
      <c r="F27" s="94" t="n"/>
      <c r="G27" s="94" t="n"/>
      <c r="H27" s="95" t="n"/>
      <c r="I27" s="124" t="n"/>
      <c r="J27" s="89" t="n"/>
    </row>
    <row r="28" ht="18" customHeight="1" s="80">
      <c r="A28" s="125" t="inlineStr">
        <is>
          <t>CV team richiesti</t>
        </is>
      </c>
      <c r="B28" s="126" t="n"/>
      <c r="C28" s="94" t="n"/>
      <c r="D28" s="94" t="n"/>
      <c r="E28" s="94" t="n"/>
      <c r="F28" s="94" t="n"/>
      <c r="G28" s="94" t="n"/>
      <c r="H28" s="95" t="n"/>
      <c r="I28" s="124" t="n"/>
      <c r="J28" s="89" t="n"/>
    </row>
    <row r="29" ht="18" customHeight="1" s="80">
      <c r="A29" s="127" t="inlineStr">
        <is>
          <t>Modalità prezzi</t>
        </is>
      </c>
      <c r="B29" s="126" t="n"/>
      <c r="C29" s="94" t="n"/>
      <c r="D29" s="94" t="n"/>
      <c r="E29" s="94" t="n"/>
      <c r="F29" s="94" t="n"/>
      <c r="G29" s="94" t="n"/>
      <c r="H29" s="95" t="n"/>
      <c r="I29" s="124" t="n"/>
      <c r="J29" s="89" t="n"/>
    </row>
    <row r="30" ht="18" customHeight="1" s="80">
      <c r="A30" s="125" t="inlineStr">
        <is>
          <t>Limite pagine offerta tecnica</t>
        </is>
      </c>
      <c r="B30" s="126" t="n"/>
      <c r="C30" s="94" t="n"/>
      <c r="D30" s="94" t="n"/>
      <c r="E30" s="94" t="n"/>
      <c r="F30" s="94" t="n"/>
      <c r="G30" s="94" t="n"/>
      <c r="H30" s="95" t="n"/>
      <c r="I30" s="124" t="n"/>
      <c r="J30" s="89" t="n"/>
    </row>
    <row r="31" ht="18" customHeight="1" s="80">
      <c r="A31" s="127" t="inlineStr">
        <is>
          <t>Formato file richiesto</t>
        </is>
      </c>
      <c r="B31" s="126" t="n"/>
      <c r="C31" s="94" t="n"/>
      <c r="D31" s="94" t="n"/>
      <c r="E31" s="94" t="n"/>
      <c r="F31" s="94" t="n"/>
      <c r="G31" s="94" t="n"/>
      <c r="H31" s="95" t="n"/>
      <c r="I31" s="124" t="n"/>
      <c r="J31" s="89" t="n"/>
    </row>
    <row r="32" ht="18" customHeight="1" s="80">
      <c r="A32" s="125" t="inlineStr">
        <is>
          <t>Lingua</t>
        </is>
      </c>
      <c r="B32" s="126" t="n"/>
      <c r="C32" s="94" t="n"/>
      <c r="D32" s="94" t="n"/>
      <c r="E32" s="94" t="n"/>
      <c r="F32" s="94" t="n"/>
      <c r="G32" s="94" t="n"/>
      <c r="H32" s="95" t="n"/>
      <c r="I32" s="124" t="n"/>
      <c r="J32" s="89" t="n"/>
    </row>
    <row r="33" ht="18" customHeight="1" s="80">
      <c r="A33" s="127" t="inlineStr">
        <is>
          <t>Altri vincoli formali</t>
        </is>
      </c>
      <c r="B33" s="126" t="n"/>
      <c r="C33" s="94" t="n"/>
      <c r="D33" s="94" t="n"/>
      <c r="E33" s="94" t="n"/>
      <c r="F33" s="94" t="n"/>
      <c r="G33" s="94" t="n"/>
      <c r="H33" s="95" t="n"/>
      <c r="I33" s="124" t="n"/>
      <c r="J33" s="89" t="n"/>
    </row>
    <row r="34" ht="15" customHeight="1" s="80">
      <c r="J34" s="89" t="n"/>
    </row>
    <row r="35" ht="19.5" customHeight="1" s="80">
      <c r="A35" s="123" t="inlineStr">
        <is>
          <t>SEZIONE 4 — SUMMARY TECNICO-APPLICATIVO</t>
        </is>
      </c>
      <c r="I35" s="124" t="n"/>
      <c r="J35" s="89" t="n"/>
    </row>
    <row r="36" ht="72" customHeight="1" s="80">
      <c r="A36" s="92" t="inlineStr">
        <is>
          <t>Scope applicativo (high level)</t>
        </is>
      </c>
      <c r="B36" s="132" t="n"/>
      <c r="C36" s="94" t="n"/>
      <c r="D36" s="94" t="n"/>
      <c r="E36" s="94" t="n"/>
      <c r="F36" s="94" t="n"/>
      <c r="G36" s="94" t="n"/>
      <c r="H36" s="95" t="n"/>
      <c r="I36" s="124" t="n"/>
      <c r="J36" s="89" t="n"/>
    </row>
    <row r="37" ht="18" customHeight="1" s="80">
      <c r="A37" s="97" t="inlineStr">
        <is>
          <t>Tipo progetto</t>
        </is>
      </c>
      <c r="B37" s="132" t="n"/>
      <c r="C37" s="94" t="n"/>
      <c r="D37" s="94" t="n"/>
      <c r="E37" s="94" t="n"/>
      <c r="F37" s="94" t="n"/>
      <c r="G37" s="94" t="n"/>
      <c r="H37" s="95" t="n"/>
      <c r="I37" s="124" t="n"/>
      <c r="J37" s="89" t="n"/>
    </row>
    <row r="38" ht="18" customHeight="1" s="80">
      <c r="A38" s="92" t="inlineStr">
        <is>
          <t>Architettura applicativa</t>
        </is>
      </c>
      <c r="B38" s="132" t="n"/>
      <c r="C38" s="94" t="n"/>
      <c r="D38" s="94" t="n"/>
      <c r="E38" s="94" t="n"/>
      <c r="F38" s="94" t="n"/>
      <c r="G38" s="94" t="n"/>
      <c r="H38" s="95" t="n"/>
      <c r="I38" s="124" t="n"/>
      <c r="J38" s="89" t="n"/>
    </row>
    <row r="39" ht="36" customHeight="1" s="80">
      <c r="A39" s="97" t="inlineStr">
        <is>
          <t>Stack tecnologico richiesto</t>
        </is>
      </c>
      <c r="B39" s="132" t="n"/>
      <c r="C39" s="94" t="n"/>
      <c r="D39" s="94" t="n"/>
      <c r="E39" s="94" t="n"/>
      <c r="F39" s="94" t="n"/>
      <c r="G39" s="94" t="n"/>
      <c r="H39" s="95" t="n"/>
      <c r="I39" s="124" t="n"/>
      <c r="J39" s="89" t="n"/>
    </row>
    <row r="40" ht="36" customHeight="1" s="80">
      <c r="A40" s="92" t="inlineStr">
        <is>
          <t>Stack tecnologico preferito</t>
        </is>
      </c>
      <c r="B40" s="132" t="n"/>
      <c r="C40" s="94" t="n"/>
      <c r="D40" s="94" t="n"/>
      <c r="E40" s="94" t="n"/>
      <c r="F40" s="94" t="n"/>
      <c r="G40" s="94" t="n"/>
      <c r="H40" s="95" t="n"/>
      <c r="I40" s="124" t="n"/>
      <c r="J40" s="89" t="n"/>
    </row>
    <row r="41" ht="36" customHeight="1" s="80">
      <c r="A41" s="97" t="inlineStr">
        <is>
          <t>Integrazioni principali</t>
        </is>
      </c>
      <c r="B41" s="132" t="n"/>
      <c r="C41" s="94" t="n"/>
      <c r="D41" s="94" t="n"/>
      <c r="E41" s="94" t="n"/>
      <c r="F41" s="94" t="n"/>
      <c r="G41" s="94" t="n"/>
      <c r="H41" s="95" t="n"/>
      <c r="I41" s="124" t="n"/>
      <c r="J41" s="89" t="n"/>
    </row>
    <row r="42" ht="18" customHeight="1" s="80">
      <c r="A42" s="92" t="inlineStr">
        <is>
          <t>Utenti target</t>
        </is>
      </c>
      <c r="B42" s="132" t="n"/>
      <c r="C42" s="94" t="n"/>
      <c r="D42" s="94" t="n"/>
      <c r="E42" s="94" t="n"/>
      <c r="F42" s="94" t="n"/>
      <c r="G42" s="94" t="n"/>
      <c r="H42" s="95" t="n"/>
      <c r="I42" s="124" t="n"/>
      <c r="J42" s="89" t="n"/>
    </row>
    <row r="43" ht="19.5" customHeight="1" s="80">
      <c r="A43" s="123" t="inlineStr">
        <is>
          <t>SEZIONE 5 — STACK AS-IS E RISCHIO EOL/LTS (solo brownfield)</t>
        </is>
      </c>
      <c r="I43" s="124" t="n"/>
      <c r="J43" s="89" t="n"/>
    </row>
    <row r="44" ht="18" customHeight="1" s="80">
      <c r="A44" s="85" t="inlineStr">
        <is>
          <t>Componente</t>
        </is>
      </c>
      <c r="B44" s="85" t="inlineStr">
        <is>
          <t>Versione</t>
        </is>
      </c>
      <c r="C44" s="85" t="inlineStr">
        <is>
          <t>Stato</t>
        </is>
      </c>
      <c r="D44" s="85" t="inlineStr">
        <is>
          <t>Fine supporto</t>
        </is>
      </c>
      <c r="E44" s="85" t="inlineStr">
        <is>
          <t>Rischio</t>
        </is>
      </c>
      <c r="F44" s="85" t="inlineStr">
        <is>
          <t>Fonte</t>
        </is>
      </c>
      <c r="G44" s="85" t="inlineStr">
        <is>
          <t>Note</t>
        </is>
      </c>
      <c r="I44" s="124" t="n"/>
      <c r="J44" s="89" t="n"/>
    </row>
    <row r="45" ht="18" customHeight="1" s="80">
      <c r="A45" s="128" t="n"/>
      <c r="B45" s="128" t="n"/>
      <c r="C45" s="128" t="n"/>
      <c r="D45" s="128" t="n"/>
      <c r="E45" s="128" t="n"/>
      <c r="F45" s="128" t="n"/>
      <c r="G45" s="128" t="n"/>
      <c r="H45" s="128" t="n"/>
      <c r="J45" s="89" t="n"/>
    </row>
    <row r="46" ht="18" customHeight="1" s="80">
      <c r="A46" s="129" t="n"/>
      <c r="B46" s="129" t="n"/>
      <c r="C46" s="129" t="n"/>
      <c r="D46" s="129" t="n"/>
      <c r="E46" s="129" t="n"/>
      <c r="F46" s="129" t="n"/>
      <c r="G46" s="129" t="n"/>
      <c r="H46" s="129" t="n"/>
      <c r="J46" s="89" t="n"/>
    </row>
    <row r="47" ht="18" customHeight="1" s="80">
      <c r="A47" s="128" t="n"/>
      <c r="B47" s="128" t="n"/>
      <c r="C47" s="128" t="n"/>
      <c r="D47" s="128" t="n"/>
      <c r="E47" s="128" t="n"/>
      <c r="F47" s="128" t="n"/>
      <c r="G47" s="128" t="n"/>
      <c r="H47" s="128" t="n"/>
      <c r="J47" s="89" t="n"/>
    </row>
    <row r="48" ht="18" customHeight="1" s="80">
      <c r="A48" s="129" t="n"/>
      <c r="B48" s="129" t="n"/>
      <c r="C48" s="129" t="n"/>
      <c r="D48" s="129" t="n"/>
      <c r="E48" s="129" t="n"/>
      <c r="F48" s="129" t="n"/>
      <c r="G48" s="129" t="n"/>
      <c r="H48" s="129" t="n"/>
      <c r="J48" s="89" t="n"/>
    </row>
    <row r="49" ht="18" customHeight="1" s="80">
      <c r="A49" s="128" t="n"/>
      <c r="B49" s="128" t="n"/>
      <c r="C49" s="128" t="n"/>
      <c r="D49" s="128" t="n"/>
      <c r="E49" s="128" t="n"/>
      <c r="F49" s="128" t="n"/>
      <c r="G49" s="128" t="n"/>
      <c r="H49" s="128" t="n"/>
      <c r="J49" s="89" t="n"/>
    </row>
    <row r="50" ht="18" customHeight="1" s="80">
      <c r="A50" s="129" t="n"/>
      <c r="B50" s="129" t="n"/>
      <c r="C50" s="129" t="n"/>
      <c r="D50" s="129" t="n"/>
      <c r="E50" s="129" t="n"/>
      <c r="F50" s="129" t="n"/>
      <c r="G50" s="129" t="n"/>
      <c r="H50" s="129" t="n"/>
      <c r="J50" s="89" t="n"/>
    </row>
    <row r="51" ht="30" customHeight="1" s="80">
      <c r="A51" s="125" t="inlineStr">
        <is>
          <t>Sintesi rischio stack</t>
        </is>
      </c>
      <c r="B51" s="133" t="n"/>
      <c r="C51" s="94" t="n"/>
      <c r="D51" s="94" t="n"/>
      <c r="E51" s="94" t="n"/>
      <c r="F51" s="94" t="n"/>
      <c r="G51" s="94" t="n"/>
      <c r="H51" s="95" t="n"/>
      <c r="I51" s="124" t="n"/>
      <c r="J51" s="89" t="n"/>
    </row>
  </sheetData>
  <mergeCells count="38">
    <mergeCell ref="B40:H40"/>
    <mergeCell ref="B9:H9"/>
    <mergeCell ref="E16:H16"/>
    <mergeCell ref="B6:H6"/>
    <mergeCell ref="B24:H24"/>
    <mergeCell ref="A11:H11"/>
    <mergeCell ref="B30:H30"/>
    <mergeCell ref="B33:H33"/>
    <mergeCell ref="A1:H1"/>
    <mergeCell ref="B51:H51"/>
    <mergeCell ref="B5:H5"/>
    <mergeCell ref="B36:H36"/>
    <mergeCell ref="B32:H32"/>
    <mergeCell ref="E18:H18"/>
    <mergeCell ref="B26:H26"/>
    <mergeCell ref="B41:H41"/>
    <mergeCell ref="B7:H7"/>
    <mergeCell ref="B25:H25"/>
    <mergeCell ref="B31:H31"/>
    <mergeCell ref="E14:H14"/>
    <mergeCell ref="E17:H17"/>
    <mergeCell ref="A21:H21"/>
    <mergeCell ref="B27:H27"/>
    <mergeCell ref="A2:H2"/>
    <mergeCell ref="B39:H39"/>
    <mergeCell ref="B42:H42"/>
    <mergeCell ref="A23:H23"/>
    <mergeCell ref="E13:H13"/>
    <mergeCell ref="A4:H4"/>
    <mergeCell ref="B8:H8"/>
    <mergeCell ref="A35:H35"/>
    <mergeCell ref="A20:H20"/>
    <mergeCell ref="A43:H43"/>
    <mergeCell ref="B38:H38"/>
    <mergeCell ref="E15:H15"/>
    <mergeCell ref="B29:H29"/>
    <mergeCell ref="B37:H37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31" activeCellId="0" sqref="D31"/>
    </sheetView>
  </sheetViews>
  <sheetFormatPr baseColWidth="8" defaultColWidth="8.66796875" defaultRowHeight="15" zeroHeight="0" outlineLevelRow="0"/>
  <cols>
    <col width="8" customWidth="1" style="79" min="1" max="1"/>
    <col width="20" customWidth="1" style="79" min="2" max="2"/>
    <col width="30" customWidth="1" style="79" min="3" max="3"/>
    <col width="28" customWidth="1" style="79" min="4" max="4"/>
    <col width="25" customWidth="1" style="79" min="5" max="5"/>
    <col width="12" customWidth="1" style="79" min="6" max="7"/>
    <col width="13" customWidth="1" style="79" min="8" max="9"/>
    <col width="12" customWidth="1" style="79" min="10" max="10"/>
    <col width="16" customWidth="1" style="79" min="11" max="11"/>
    <col width="30" customWidth="1" style="79" min="12" max="13"/>
    <col width="12" customWidth="1" style="79" min="14" max="14"/>
    <col width="45" customWidth="1" style="79" min="15" max="16"/>
    <col width="35" customWidth="1" style="80" min="16" max="16"/>
  </cols>
  <sheetData>
    <row r="1" ht="31.5" customHeight="1" s="80">
      <c r="A1" s="134" t="inlineStr">
        <is>
          <t>MATRICE DI TRACCIABILITÀ — REQUISITI vs SOLUZIONE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98" t="n"/>
      <c r="K1" s="98" t="n"/>
      <c r="N1" s="135" t="inlineStr">
        <is>
          <t>Legenda Certezza: E=Estratto | I=Inferito | A=Assunto</t>
        </is>
      </c>
      <c r="O1" s="136" t="n"/>
      <c r="P1" s="137" t="n"/>
    </row>
    <row r="2" ht="15" customHeight="1" s="80">
      <c r="A2" s="138" t="inlineStr">
        <is>
          <t>Compilare per ogni requisito estratto dal bando. Il campo 'Complessità' usa dropdown.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98" t="n"/>
      <c r="K2" s="98" t="n"/>
    </row>
    <row r="3" ht="23.25" customHeight="1" s="80">
      <c r="A3" s="139" t="inlineStr">
        <is>
          <t>ID Req.</t>
        </is>
      </c>
      <c r="B3" s="139" t="inlineStr">
        <is>
          <t>Area Funzionale</t>
        </is>
      </c>
      <c r="C3" s="139" t="inlineStr">
        <is>
          <t>Descrizione Bando</t>
        </is>
      </c>
      <c r="D3" s="139" t="inlineStr">
        <is>
          <t>Soluzione Proposta</t>
        </is>
      </c>
      <c r="E3" s="139" t="inlineStr">
        <is>
          <t>Componente Tecnica</t>
        </is>
      </c>
      <c r="F3" s="139" t="inlineStr">
        <is>
          <t>Complessità</t>
        </is>
      </c>
      <c r="G3" s="139" t="inlineStr">
        <is>
          <t>GG/U Front End</t>
        </is>
      </c>
      <c r="H3" s="139" t="inlineStr">
        <is>
          <t>GG/U Back End</t>
        </is>
      </c>
      <c r="I3" s="139" t="inlineStr">
        <is>
          <t>GG/U Data &amp; AI</t>
        </is>
      </c>
      <c r="J3" s="139" t="inlineStr">
        <is>
          <t>GG/U TOTALE</t>
        </is>
      </c>
      <c r="K3" s="139" t="inlineStr">
        <is>
          <t>Priorità</t>
        </is>
      </c>
      <c r="L3" s="139" t="inlineStr">
        <is>
          <t>Note / Assunzioni</t>
        </is>
      </c>
      <c r="M3" s="85" t="inlineStr">
        <is>
          <t>Fonte / Pag.</t>
        </is>
      </c>
      <c r="N3" s="85" t="inlineStr">
        <is>
          <t>Certezza</t>
        </is>
      </c>
      <c r="O3" s="140" t="inlineStr">
        <is>
          <t>Forbice &amp; Driver</t>
        </is>
      </c>
      <c r="P3" s="140" t="inlineStr">
        <is>
          <t>Rationale Stima</t>
        </is>
      </c>
    </row>
    <row r="4" ht="45.75" customHeight="1" s="80">
      <c r="A4" s="141" t="inlineStr">
        <is>
          <t>REQ-001</t>
        </is>
      </c>
      <c r="B4" s="104" t="inlineStr">
        <is>
          <t>Autenticazione &amp; IAM</t>
        </is>
      </c>
      <c r="C4" s="142" t="inlineStr">
        <is>
          <t>Il sistema deve supportare autenticazione SSO con provider SAML 2.0 e gestione profili utente multi-ruolo</t>
        </is>
      </c>
      <c r="D4" s="142" t="inlineStr">
        <is>
          <t>Integrazione con Identity Provider via SAML 2.0 / OAuth 2.0. Implementazione RBAC su API Gateway</t>
        </is>
      </c>
      <c r="E4" s="142" t="inlineStr">
        <is>
          <t>Keycloak / Azure AD B2C + API Gateway</t>
        </is>
      </c>
      <c r="F4" s="143" t="inlineStr">
        <is>
          <t>Alta</t>
        </is>
      </c>
      <c r="G4" s="105" t="n">
        <v>2</v>
      </c>
      <c r="H4" s="105" t="n">
        <v>5</v>
      </c>
      <c r="I4" s="105" t="n">
        <v>1</v>
      </c>
      <c r="J4" s="144">
        <f>IFERROR(SUM(G4:I4),0)</f>
        <v/>
      </c>
      <c r="K4" s="142" t="inlineStr">
        <is>
          <t>Verificare IdP esistente del cliente</t>
        </is>
      </c>
      <c r="M4" s="88" t="n"/>
      <c r="N4" s="89" t="n"/>
      <c r="O4" s="145" t="n"/>
      <c r="P4" s="145" t="n"/>
    </row>
    <row r="5" ht="36" customHeight="1" s="80">
      <c r="A5" s="146" t="inlineStr">
        <is>
          <t>REQ-002</t>
        </is>
      </c>
      <c r="B5" s="100" t="inlineStr">
        <is>
          <t>Gestione Documenti</t>
        </is>
      </c>
      <c r="C5" s="147" t="inlineStr">
        <is>
          <t>Archiviazione e ricerca full-text di documenti strutturati e non strutturati con retention policy</t>
        </is>
      </c>
      <c r="D5" s="147" t="inlineStr">
        <is>
          <t>Document Management System con indice Elasticsearch + storage S3-compatible</t>
        </is>
      </c>
      <c r="E5" s="147" t="inlineStr">
        <is>
          <t>ECM Module + ElasticSearch + MinIO</t>
        </is>
      </c>
      <c r="F5" s="148" t="inlineStr">
        <is>
          <t>Media</t>
        </is>
      </c>
      <c r="G5" s="101" t="n">
        <v>3</v>
      </c>
      <c r="H5" s="101" t="n">
        <v>5</v>
      </c>
      <c r="I5" s="101" t="n">
        <v>4</v>
      </c>
      <c r="J5" s="144">
        <f>IFERROR(SUM(G5:I5),0)</f>
        <v/>
      </c>
      <c r="K5" s="147" t="inlineStr">
        <is>
          <t>Volumetria documenti da verificare — Assunzione: &lt;500k doc/anno</t>
        </is>
      </c>
      <c r="M5" s="90" t="n"/>
      <c r="N5" s="89" t="n"/>
      <c r="O5" s="145" t="n"/>
      <c r="P5" s="145" t="n"/>
    </row>
    <row r="6" ht="36" customHeight="1" s="80">
      <c r="A6" s="141" t="inlineStr">
        <is>
          <t>REQ-003</t>
        </is>
      </c>
      <c r="B6" s="104" t="inlineStr">
        <is>
          <t>Cruscotto Analytics</t>
        </is>
      </c>
      <c r="C6" s="142" t="inlineStr">
        <is>
          <t>Dashboard real-time KPI operativi con drill-down su dati storici (ultimi 36 mesi)</t>
        </is>
      </c>
      <c r="D6" s="142" t="inlineStr">
        <is>
          <t>Layer BI su data warehouse. Report con filtri interattivi e export PDF/Excel</t>
        </is>
      </c>
      <c r="E6" s="142" t="inlineStr">
        <is>
          <t>PowerBI Embedded / Apache Superset + DWH</t>
        </is>
      </c>
      <c r="F6" s="148" t="inlineStr">
        <is>
          <t>Media</t>
        </is>
      </c>
      <c r="G6" s="105" t="n">
        <v>4</v>
      </c>
      <c r="H6" s="105" t="n">
        <v>2</v>
      </c>
      <c r="I6" s="105" t="n">
        <v>4</v>
      </c>
      <c r="J6" s="144">
        <f>IFERROR(SUM(G6:I6),0)</f>
        <v/>
      </c>
      <c r="K6" s="142" t="inlineStr">
        <is>
          <t>Definire KPI con il cliente in fase di Discovery</t>
        </is>
      </c>
      <c r="M6" s="88" t="n"/>
      <c r="N6" s="89" t="n"/>
      <c r="O6" s="145" t="n"/>
      <c r="P6" s="145" t="n"/>
    </row>
    <row r="7" ht="36" customHeight="1" s="80">
      <c r="A7" s="146" t="inlineStr">
        <is>
          <t>REQ-004</t>
        </is>
      </c>
      <c r="B7" s="100" t="inlineStr">
        <is>
          <t>Integrazione Sistemi Legacy</t>
        </is>
      </c>
      <c r="C7" s="147" t="inlineStr">
        <is>
          <t>Interoperabilità con sistema ERP esistente (SAP ECC 6.0) per scambio dati ordini/fatture</t>
        </is>
      </c>
      <c r="D7" s="147" t="inlineStr">
        <is>
          <t>Integration layer ESB con adapter SAP RFC/BAPI. Mapping dati e orchestrazione via middleware</t>
        </is>
      </c>
      <c r="E7" s="147" t="inlineStr">
        <is>
          <t>MuleSoft / Apache Camel + SAP Connector</t>
        </is>
      </c>
      <c r="F7" s="143" t="inlineStr">
        <is>
          <t>Alta</t>
        </is>
      </c>
      <c r="G7" s="101" t="n">
        <v>1</v>
      </c>
      <c r="H7" s="101" t="n">
        <v>8</v>
      </c>
      <c r="I7" s="101" t="n">
        <v>6</v>
      </c>
      <c r="J7" s="144">
        <f>IFERROR(SUM(G7:I7),0)</f>
        <v/>
      </c>
      <c r="K7" s="147" t="inlineStr">
        <is>
          <t>Disponibilità RFC SAP da verificare. SLA interfaccia: Assunzione da verificare</t>
        </is>
      </c>
      <c r="M7" s="90" t="n"/>
      <c r="N7" s="89" t="n"/>
      <c r="O7" s="145" t="n"/>
      <c r="P7" s="145" t="n"/>
    </row>
    <row r="8" ht="36" customHeight="1" s="80">
      <c r="A8" s="141" t="inlineStr">
        <is>
          <t>REQ-005</t>
        </is>
      </c>
      <c r="B8" s="104" t="inlineStr">
        <is>
          <t>Notifiche &amp; Comunicazioni</t>
        </is>
      </c>
      <c r="C8" s="142" t="inlineStr">
        <is>
          <t>Sistema di notifiche multicanale (email, SMS, push) basato su eventi di business</t>
        </is>
      </c>
      <c r="D8" s="142" t="inlineStr">
        <is>
          <t>Event-driven notification service. Template engine per comunicazioni personalizzate</t>
        </is>
      </c>
      <c r="E8" s="142" t="inlineStr">
        <is>
          <t>Apache Kafka + Notification Service + SendGrid</t>
        </is>
      </c>
      <c r="F8" s="149" t="inlineStr">
        <is>
          <t>Bassa</t>
        </is>
      </c>
      <c r="G8" s="105" t="n">
        <v>1</v>
      </c>
      <c r="H8" s="105" t="n">
        <v>3</v>
      </c>
      <c r="I8" s="105" t="n">
        <v>1</v>
      </c>
      <c r="J8" s="144">
        <f>IFERROR(SUM(G8:I8),0)</f>
        <v/>
      </c>
      <c r="K8" s="142" t="inlineStr">
        <is>
          <t>Fornitore SMS da concordare con cliente</t>
        </is>
      </c>
      <c r="M8" s="88" t="n"/>
      <c r="N8" s="89" t="n"/>
      <c r="O8" s="145" t="n"/>
      <c r="P8" s="145" t="n"/>
    </row>
    <row r="9" ht="36" customHeight="1" s="80">
      <c r="A9" s="146" t="inlineStr">
        <is>
          <t>REQ-006</t>
        </is>
      </c>
      <c r="B9" s="147" t="n"/>
      <c r="C9" s="147" t="n"/>
      <c r="D9" s="147" t="n"/>
      <c r="E9" s="147" t="n"/>
      <c r="F9" s="147" t="n"/>
      <c r="G9" s="101" t="n"/>
      <c r="H9" s="101" t="n"/>
      <c r="I9" s="101" t="n"/>
      <c r="J9" s="150">
        <f>IFERROR(SUM(G9:I9),0)</f>
        <v/>
      </c>
      <c r="K9" s="147" t="n"/>
      <c r="M9" s="90" t="n"/>
      <c r="N9" s="89" t="n"/>
      <c r="O9" s="145" t="n"/>
      <c r="P9" s="145" t="n"/>
    </row>
    <row r="10" ht="36" customHeight="1" s="80">
      <c r="A10" s="141" t="inlineStr">
        <is>
          <t>REQ-007</t>
        </is>
      </c>
      <c r="B10" s="142" t="n"/>
      <c r="C10" s="142" t="n"/>
      <c r="D10" s="142" t="n"/>
      <c r="E10" s="142" t="n"/>
      <c r="F10" s="142" t="n"/>
      <c r="G10" s="105" t="n"/>
      <c r="H10" s="105" t="n"/>
      <c r="I10" s="105" t="n"/>
      <c r="J10" s="151">
        <f>IFERROR(SUM(G10:I10),0)</f>
        <v/>
      </c>
      <c r="K10" s="142" t="n"/>
      <c r="M10" s="88" t="n"/>
      <c r="N10" s="89" t="n"/>
      <c r="O10" s="145" t="n"/>
      <c r="P10" s="145" t="n"/>
    </row>
    <row r="11" ht="36" customHeight="1" s="80">
      <c r="A11" s="146" t="inlineStr">
        <is>
          <t>REQ-008</t>
        </is>
      </c>
      <c r="B11" s="147" t="n"/>
      <c r="C11" s="147" t="n"/>
      <c r="D11" s="147" t="n"/>
      <c r="E11" s="147" t="n"/>
      <c r="F11" s="147" t="n"/>
      <c r="G11" s="101" t="n"/>
      <c r="H11" s="101" t="n"/>
      <c r="I11" s="101" t="n"/>
      <c r="J11" s="150">
        <f>IFERROR(SUM(G11:I11),0)</f>
        <v/>
      </c>
      <c r="K11" s="147" t="n"/>
      <c r="M11" s="90" t="n"/>
      <c r="N11" s="89" t="n"/>
      <c r="O11" s="145" t="n"/>
      <c r="P11" s="145" t="n"/>
    </row>
    <row r="12" ht="36" customHeight="1" s="80">
      <c r="A12" s="141" t="inlineStr">
        <is>
          <t>REQ-009</t>
        </is>
      </c>
      <c r="B12" s="142" t="n"/>
      <c r="C12" s="142" t="n"/>
      <c r="D12" s="142" t="n"/>
      <c r="E12" s="142" t="n"/>
      <c r="F12" s="142" t="n"/>
      <c r="G12" s="105" t="n"/>
      <c r="H12" s="105" t="n"/>
      <c r="I12" s="105" t="n"/>
      <c r="J12" s="151">
        <f>IFERROR(SUM(G12:I12),0)</f>
        <v/>
      </c>
      <c r="K12" s="142" t="n"/>
      <c r="M12" s="88" t="n"/>
      <c r="N12" s="89" t="n"/>
      <c r="O12" s="145" t="n"/>
      <c r="P12" s="145" t="n"/>
    </row>
    <row r="13" ht="36" customHeight="1" s="80">
      <c r="A13" s="146" t="inlineStr">
        <is>
          <t>REQ-010</t>
        </is>
      </c>
      <c r="B13" s="147" t="n"/>
      <c r="C13" s="147" t="n"/>
      <c r="D13" s="147" t="n"/>
      <c r="E13" s="147" t="n"/>
      <c r="F13" s="147" t="n"/>
      <c r="G13" s="101" t="n"/>
      <c r="H13" s="101" t="n"/>
      <c r="I13" s="101" t="n"/>
      <c r="J13" s="150">
        <f>IFERROR(SUM(G13:I13),0)</f>
        <v/>
      </c>
      <c r="K13" s="147" t="n"/>
      <c r="M13" s="90" t="n"/>
      <c r="N13" s="89" t="n"/>
      <c r="O13" s="145" t="n"/>
      <c r="P13" s="145" t="n"/>
    </row>
    <row r="14" ht="36" customHeight="1" s="80">
      <c r="A14" s="141" t="inlineStr">
        <is>
          <t>REQ-011</t>
        </is>
      </c>
      <c r="B14" s="142" t="n"/>
      <c r="C14" s="142" t="n"/>
      <c r="D14" s="142" t="n"/>
      <c r="E14" s="142" t="n"/>
      <c r="F14" s="142" t="n"/>
      <c r="G14" s="105" t="n"/>
      <c r="H14" s="105" t="n"/>
      <c r="I14" s="105" t="n"/>
      <c r="J14" s="151">
        <f>IFERROR(SUM(G14:I14),0)</f>
        <v/>
      </c>
      <c r="K14" s="142" t="n"/>
      <c r="M14" s="88" t="n"/>
      <c r="N14" s="89" t="n"/>
      <c r="O14" s="145" t="n"/>
      <c r="P14" s="145" t="n"/>
    </row>
    <row r="15" ht="36" customHeight="1" s="80">
      <c r="A15" s="146" t="inlineStr">
        <is>
          <t>REQ-012</t>
        </is>
      </c>
      <c r="B15" s="147" t="n"/>
      <c r="C15" s="147" t="n"/>
      <c r="D15" s="147" t="n"/>
      <c r="E15" s="147" t="n"/>
      <c r="F15" s="147" t="n"/>
      <c r="G15" s="101" t="n"/>
      <c r="H15" s="101" t="n"/>
      <c r="I15" s="101" t="n"/>
      <c r="J15" s="150">
        <f>IFERROR(SUM(G15:I15),0)</f>
        <v/>
      </c>
      <c r="K15" s="147" t="n"/>
      <c r="M15" s="90" t="n"/>
      <c r="N15" s="89" t="n"/>
      <c r="O15" s="145" t="n"/>
      <c r="P15" s="145" t="n"/>
    </row>
    <row r="16" ht="36" customHeight="1" s="80">
      <c r="A16" s="141" t="inlineStr">
        <is>
          <t>REQ-013</t>
        </is>
      </c>
      <c r="B16" s="142" t="n"/>
      <c r="C16" s="142" t="n"/>
      <c r="D16" s="142" t="n"/>
      <c r="E16" s="142" t="n"/>
      <c r="F16" s="142" t="n"/>
      <c r="G16" s="105" t="n"/>
      <c r="H16" s="105" t="n"/>
      <c r="I16" s="105" t="n"/>
      <c r="J16" s="151">
        <f>IFERROR(SUM(G16:I16),0)</f>
        <v/>
      </c>
      <c r="K16" s="142" t="n"/>
      <c r="M16" s="88" t="n"/>
      <c r="N16" s="89" t="n"/>
      <c r="O16" s="145" t="n"/>
      <c r="P16" s="145" t="n"/>
    </row>
    <row r="17" ht="36" customHeight="1" s="80">
      <c r="A17" s="146" t="inlineStr">
        <is>
          <t>REQ-014</t>
        </is>
      </c>
      <c r="B17" s="147" t="n"/>
      <c r="C17" s="147" t="n"/>
      <c r="D17" s="147" t="n"/>
      <c r="E17" s="147" t="n"/>
      <c r="F17" s="147" t="n"/>
      <c r="G17" s="101" t="n"/>
      <c r="H17" s="101" t="n"/>
      <c r="I17" s="101" t="n"/>
      <c r="J17" s="150">
        <f>IFERROR(SUM(G17:I17),0)</f>
        <v/>
      </c>
      <c r="K17" s="147" t="n"/>
      <c r="M17" s="90" t="n"/>
      <c r="N17" s="89" t="n"/>
      <c r="O17" s="145" t="n"/>
      <c r="P17" s="145" t="n"/>
    </row>
    <row r="18" ht="36" customHeight="1" s="80">
      <c r="A18" s="141" t="inlineStr">
        <is>
          <t>REQ-015</t>
        </is>
      </c>
      <c r="B18" s="142" t="n"/>
      <c r="C18" s="142" t="n"/>
      <c r="D18" s="142" t="n"/>
      <c r="E18" s="142" t="n"/>
      <c r="F18" s="142" t="n"/>
      <c r="G18" s="105" t="n"/>
      <c r="H18" s="105" t="n"/>
      <c r="I18" s="105" t="n"/>
      <c r="J18" s="151">
        <f>IFERROR(SUM(G18:I18),0)</f>
        <v/>
      </c>
      <c r="K18" s="142" t="n"/>
      <c r="M18" s="88" t="n"/>
      <c r="N18" s="89" t="n"/>
      <c r="O18" s="145" t="n"/>
      <c r="P18" s="145" t="n"/>
    </row>
    <row r="19" ht="36" customHeight="1" s="80">
      <c r="A19" s="146" t="inlineStr">
        <is>
          <t>REQ-016</t>
        </is>
      </c>
      <c r="B19" s="147" t="n"/>
      <c r="C19" s="147" t="n"/>
      <c r="D19" s="147" t="n"/>
      <c r="E19" s="147" t="n"/>
      <c r="F19" s="147" t="n"/>
      <c r="G19" s="101" t="n"/>
      <c r="H19" s="101" t="n"/>
      <c r="I19" s="101" t="n"/>
      <c r="J19" s="150">
        <f>IFERROR(SUM(G19:I19),0)</f>
        <v/>
      </c>
      <c r="K19" s="147" t="n"/>
      <c r="M19" s="90" t="n"/>
      <c r="N19" s="89" t="n"/>
      <c r="O19" s="145" t="n"/>
      <c r="P19" s="145" t="n"/>
    </row>
    <row r="20" ht="36" customHeight="1" s="80">
      <c r="A20" s="142" t="n"/>
      <c r="B20" s="142" t="n"/>
      <c r="C20" s="142" t="n"/>
      <c r="D20" s="142" t="n"/>
      <c r="E20" s="142" t="n"/>
      <c r="F20" s="142" t="n"/>
      <c r="G20" s="142" t="n"/>
      <c r="H20" s="142" t="n"/>
      <c r="I20" s="142" t="n"/>
      <c r="J20" s="151">
        <f>IFERROR(SUM(G20:I20),0)</f>
        <v/>
      </c>
      <c r="M20" s="88" t="n"/>
      <c r="N20" s="89" t="n"/>
      <c r="O20" s="145" t="n"/>
      <c r="P20" s="145" t="n"/>
    </row>
    <row r="21" ht="36" customHeight="1" s="80">
      <c r="A21" s="152" t="inlineStr">
        <is>
          <t>TOTALE GG/U DA REQUIREMENTS</t>
        </is>
      </c>
      <c r="B21" s="84" t="n"/>
      <c r="C21" s="84" t="n"/>
      <c r="D21" s="153" t="n"/>
      <c r="E21" s="153" t="n"/>
      <c r="F21" s="153" t="n"/>
      <c r="G21" s="154">
        <f>SUM(G4:G20)</f>
        <v/>
      </c>
      <c r="H21" s="154">
        <f>SUM(H4:H20)</f>
        <v/>
      </c>
      <c r="I21" s="154">
        <f>SUM(I4:I20)</f>
        <v/>
      </c>
      <c r="J21" s="155">
        <f>SUM(J4:J20)</f>
        <v/>
      </c>
      <c r="M21" s="90" t="n"/>
      <c r="N21" s="89" t="n"/>
    </row>
  </sheetData>
  <autoFilter ref="A3:L20"/>
  <mergeCells count="3">
    <mergeCell ref="A1:I1"/>
    <mergeCell ref="A2:I2"/>
    <mergeCell ref="A21:C21"/>
  </mergeCells>
  <dataValidations count="2">
    <dataValidation sqref="F4:F200" showDropDown="0" showInputMessage="0" showErrorMessage="0" allowBlank="1" errorTitle="Valore non valido" error="Seleziona: Alta, Media o Bassa" type="list" errorStyle="stop" operator="between">
      <formula1>"Alta,Media,Bassa"</formula1>
      <formula2>0</formula2>
    </dataValidation>
    <dataValidation sqref="K4:K200" showDropDown="0" showInputMessage="0" showErrorMessage="0" allowBlank="1" type="list" errorStyle="stop" operator="between">
      <formula1>"Must Have,Should Have,Nice to Have"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style="80" min="1" max="1"/>
    <col width="18" customWidth="1" style="80" min="2" max="2"/>
    <col width="25" customWidth="1" style="80" min="3" max="3"/>
    <col width="18" customWidth="1" style="80" min="4" max="4"/>
    <col width="22" customWidth="1" style="80" min="5" max="5"/>
    <col width="16" customWidth="1" style="80" min="6" max="6"/>
    <col width="35" customWidth="1" style="80" min="7" max="7"/>
    <col width="22" customWidth="1" style="80" min="8" max="8"/>
    <col width="35" customWidth="1" style="80" min="9" max="9"/>
  </cols>
  <sheetData>
    <row r="1" ht="24" customHeight="1" s="80">
      <c r="A1" s="156" t="inlineStr">
        <is>
          <t>PRODOTTI &amp; SERVIZI ESTERNI — TECNOLOGIE NON IN SCOPE CUSTOM</t>
        </is>
      </c>
    </row>
    <row r="2" ht="30" customHeight="1" s="80">
      <c r="A2" s="157" t="inlineStr">
        <is>
          <t>Requisiti con categoria_scope != custom_software dal JSON v2.0. GG/U custom = 0; la colonna F è da compilare in fase commerciale con costi licenza/abbonamento/servizio.</t>
        </is>
      </c>
    </row>
    <row r="3" ht="32" customHeight="1" s="80">
      <c r="A3" s="158" t="inlineStr">
        <is>
          <t>REQ ID</t>
        </is>
      </c>
      <c r="B3" s="158" t="inlineStr">
        <is>
          <t>Categoria</t>
        </is>
      </c>
      <c r="C3" s="158" t="inlineStr">
        <is>
          <t>Nome prodotto</t>
        </is>
      </c>
      <c r="D3" s="158" t="inlineStr">
        <is>
          <t>Fornitore</t>
        </is>
      </c>
      <c r="E3" s="158" t="inlineStr">
        <is>
          <t>Tipo costo</t>
        </is>
      </c>
      <c r="F3" s="158" t="inlineStr">
        <is>
          <t>Stima costo (€)</t>
        </is>
      </c>
      <c r="G3" s="158" t="inlineStr">
        <is>
          <t>Note</t>
        </is>
      </c>
      <c r="H3" s="158" t="inlineStr">
        <is>
          <t>Fonte bando</t>
        </is>
      </c>
      <c r="I3" s="158" t="inlineStr">
        <is>
          <t>Motivazione classificazione</t>
        </is>
      </c>
    </row>
    <row r="4">
      <c r="A4" s="159" t="n"/>
      <c r="B4" s="159" t="n"/>
      <c r="C4" s="159" t="n"/>
      <c r="D4" s="159" t="n"/>
      <c r="E4" s="159" t="n"/>
      <c r="F4" s="160" t="n"/>
      <c r="G4" s="159" t="n"/>
      <c r="H4" s="159" t="n"/>
      <c r="I4" s="159" t="n"/>
    </row>
    <row r="5">
      <c r="A5" s="159" t="n"/>
      <c r="B5" s="159" t="n"/>
      <c r="C5" s="159" t="n"/>
      <c r="D5" s="159" t="n"/>
      <c r="E5" s="159" t="n"/>
      <c r="F5" s="160" t="n"/>
      <c r="G5" s="159" t="n"/>
      <c r="H5" s="159" t="n"/>
      <c r="I5" s="159" t="n"/>
    </row>
    <row r="6">
      <c r="A6" s="159" t="n"/>
      <c r="B6" s="159" t="n"/>
      <c r="C6" s="159" t="n"/>
      <c r="D6" s="159" t="n"/>
      <c r="E6" s="159" t="n"/>
      <c r="F6" s="160" t="n"/>
      <c r="G6" s="159" t="n"/>
      <c r="H6" s="159" t="n"/>
      <c r="I6" s="159" t="n"/>
    </row>
    <row r="7">
      <c r="A7" s="159" t="n"/>
      <c r="B7" s="159" t="n"/>
      <c r="C7" s="159" t="n"/>
      <c r="D7" s="159" t="n"/>
      <c r="E7" s="159" t="n"/>
      <c r="F7" s="160" t="n"/>
      <c r="G7" s="159" t="n"/>
      <c r="H7" s="159" t="n"/>
      <c r="I7" s="159" t="n"/>
    </row>
    <row r="8">
      <c r="A8" s="159" t="n"/>
      <c r="B8" s="159" t="n"/>
      <c r="C8" s="159" t="n"/>
      <c r="D8" s="159" t="n"/>
      <c r="E8" s="159" t="n"/>
      <c r="F8" s="160" t="n"/>
      <c r="G8" s="159" t="n"/>
      <c r="H8" s="159" t="n"/>
      <c r="I8" s="159" t="n"/>
    </row>
    <row r="9">
      <c r="A9" s="159" t="n"/>
      <c r="B9" s="159" t="n"/>
      <c r="C9" s="159" t="n"/>
      <c r="D9" s="159" t="n"/>
      <c r="E9" s="159" t="n"/>
      <c r="F9" s="160" t="n"/>
      <c r="G9" s="159" t="n"/>
      <c r="H9" s="159" t="n"/>
      <c r="I9" s="159" t="n"/>
    </row>
    <row r="10">
      <c r="A10" s="159" t="n"/>
      <c r="B10" s="159" t="n"/>
      <c r="C10" s="159" t="n"/>
      <c r="D10" s="159" t="n"/>
      <c r="E10" s="159" t="n"/>
      <c r="F10" s="160" t="n"/>
      <c r="G10" s="159" t="n"/>
      <c r="H10" s="159" t="n"/>
      <c r="I10" s="159" t="n"/>
    </row>
    <row r="11">
      <c r="A11" s="159" t="n"/>
      <c r="B11" s="159" t="n"/>
      <c r="C11" s="159" t="n"/>
      <c r="D11" s="159" t="n"/>
      <c r="E11" s="159" t="n"/>
      <c r="F11" s="160" t="n"/>
      <c r="G11" s="159" t="n"/>
      <c r="H11" s="159" t="n"/>
      <c r="I11" s="159" t="n"/>
    </row>
    <row r="12">
      <c r="A12" s="159" t="n"/>
      <c r="B12" s="159" t="n"/>
      <c r="C12" s="159" t="n"/>
      <c r="D12" s="159" t="n"/>
      <c r="E12" s="159" t="n"/>
      <c r="F12" s="160" t="n"/>
      <c r="G12" s="159" t="n"/>
      <c r="H12" s="159" t="n"/>
      <c r="I12" s="159" t="n"/>
    </row>
    <row r="13">
      <c r="A13" s="159" t="n"/>
      <c r="B13" s="159" t="n"/>
      <c r="C13" s="159" t="n"/>
      <c r="D13" s="159" t="n"/>
      <c r="E13" s="159" t="n"/>
      <c r="F13" s="160" t="n"/>
      <c r="G13" s="159" t="n"/>
      <c r="H13" s="159" t="n"/>
      <c r="I13" s="159" t="n"/>
    </row>
    <row r="14">
      <c r="A14" s="161" t="inlineStr">
        <is>
          <t>TOTALE</t>
        </is>
      </c>
      <c r="B14" s="162" t="n"/>
      <c r="C14" s="162" t="n"/>
      <c r="D14" s="162" t="n"/>
      <c r="E14" s="163" t="inlineStr">
        <is>
          <t>TOTALE</t>
        </is>
      </c>
      <c r="F14" s="164">
        <f>SUM(F4:F13)</f>
        <v/>
      </c>
      <c r="G14" s="162" t="n"/>
      <c r="H14" s="162" t="n"/>
      <c r="I14" s="162" t="n"/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E5" activeCellId="0" sqref="E5"/>
    </sheetView>
  </sheetViews>
  <sheetFormatPr baseColWidth="8" defaultColWidth="8.66796875" defaultRowHeight="15" zeroHeight="0" outlineLevelRow="0"/>
  <cols>
    <col width="8" customWidth="1" style="79" min="1" max="1"/>
    <col width="16" customWidth="1" style="79" min="2" max="2"/>
    <col width="36" customWidth="1" style="79" min="3" max="3"/>
    <col width="12" customWidth="1" style="79" min="4" max="5"/>
    <col width="14" customWidth="1" style="79" min="6" max="6"/>
    <col width="36" customWidth="1" style="79" min="7" max="7"/>
    <col width="14" customWidth="1" style="79" min="8" max="8"/>
    <col width="30" customWidth="1" style="79" min="9" max="9"/>
    <col width="12" customWidth="1" style="79" min="10" max="10"/>
    <col width="12" customWidth="1" style="79" min="11" max="12"/>
  </cols>
  <sheetData>
    <row r="1" ht="31.5" customHeight="1" s="80">
      <c r="A1" s="134" t="inlineStr">
        <is>
          <t>REGISTRO ASSUNZIONI E RISCHI DI PROGETTO</t>
        </is>
      </c>
      <c r="B1" s="84" t="n"/>
      <c r="C1" s="84" t="n"/>
      <c r="D1" s="84" t="n"/>
      <c r="E1" s="84" t="n"/>
      <c r="F1" s="84" t="n"/>
      <c r="G1" s="84" t="n"/>
      <c r="H1" s="84" t="n"/>
      <c r="J1" s="135" t="inlineStr">
        <is>
          <t>E=Estratto</t>
        </is>
      </c>
      <c r="K1" s="136" t="inlineStr">
        <is>
          <t>I=Inferito</t>
        </is>
      </c>
      <c r="L1" s="137" t="inlineStr">
        <is>
          <t>A=Assunto</t>
        </is>
      </c>
    </row>
    <row r="2" ht="15" customHeight="1" s="80">
      <c r="A2" s="83" t="inlineStr">
        <is>
          <t>SEZIONE A — ASSUNZIONI ALLA BASE DELLA STIMA</t>
        </is>
      </c>
      <c r="B2" s="84" t="n"/>
      <c r="C2" s="84" t="n"/>
      <c r="D2" s="84" t="n"/>
      <c r="E2" s="84" t="n"/>
      <c r="F2" s="84" t="n"/>
      <c r="G2" s="84" t="n"/>
      <c r="H2" s="84" t="n"/>
    </row>
    <row r="3" ht="23.25" customHeight="1" s="80">
      <c r="A3" s="139" t="inlineStr">
        <is>
          <t>ID</t>
        </is>
      </c>
      <c r="B3" s="139" t="inlineStr">
        <is>
          <t>Categoria</t>
        </is>
      </c>
      <c r="C3" s="139" t="inlineStr">
        <is>
          <t>Descrizione Assunzione</t>
        </is>
      </c>
      <c r="D3" s="139" t="inlineStr">
        <is>
          <t>Impatto sulla Stima</t>
        </is>
      </c>
      <c r="E3" s="139" t="inlineStr">
        <is>
          <t>Stato</t>
        </is>
      </c>
      <c r="F3" s="139" t="inlineStr">
        <is>
          <t>Da Verificare con</t>
        </is>
      </c>
      <c r="G3" s="139" t="inlineStr">
        <is>
          <t>Scadenza Verifica</t>
        </is>
      </c>
      <c r="H3" s="139" t="inlineStr">
        <is>
          <t>Note</t>
        </is>
      </c>
      <c r="I3" s="85" t="inlineStr">
        <is>
          <t>Fonte / Pag.</t>
        </is>
      </c>
      <c r="J3" s="85" t="inlineStr">
        <is>
          <t>Certezza</t>
        </is>
      </c>
    </row>
    <row r="4" ht="79.5" customHeight="1" s="80">
      <c r="A4" s="141" t="inlineStr">
        <is>
          <t>A-001</t>
        </is>
      </c>
      <c r="B4" s="104" t="inlineStr">
        <is>
          <t>Ambienti</t>
        </is>
      </c>
      <c r="C4" s="142" t="inlineStr">
        <is>
          <t>Gli ambienti cloud (Dev/Test/Prod) saranno disponibili entro la fine della fase di Design</t>
        </is>
      </c>
      <c r="D4" s="142" t="inlineStr">
        <is>
          <t>Alto: ritardo disponibilità ambienti causa slittamento Build di 2-3 settimane</t>
        </is>
      </c>
      <c r="E4" s="143" t="inlineStr">
        <is>
          <t>Da verificare</t>
        </is>
      </c>
      <c r="F4" s="104" t="inlineStr">
        <is>
          <t>Infrastructure Lead / Cliente</t>
        </is>
      </c>
      <c r="G4" s="141" t="inlineStr">
        <is>
          <t>Prima del kick-off</t>
        </is>
      </c>
      <c r="H4" s="142" t="inlineStr">
        <is>
          <t>Verificare contratto cloud e ownership</t>
        </is>
      </c>
      <c r="I4" s="88" t="n"/>
      <c r="J4" s="89" t="n"/>
    </row>
    <row r="5" ht="79.5" customHeight="1" s="80">
      <c r="A5" s="146" t="inlineStr">
        <is>
          <t>A-002</t>
        </is>
      </c>
      <c r="B5" s="100" t="inlineStr">
        <is>
          <t>Integrazioni</t>
        </is>
      </c>
      <c r="C5" s="147" t="inlineStr">
        <is>
          <t>Le API dei sistemi legacy sono documentate e rispettano standard REST/SOAP. Tempo risposta &lt; 500ms</t>
        </is>
      </c>
      <c r="D5" s="147" t="inlineStr">
        <is>
          <t>Alto: API non documentate richiedono 5-10 GG/U aggiuntivi per reverse engineering</t>
        </is>
      </c>
      <c r="E5" s="143" t="inlineStr">
        <is>
          <t>Da verificare</t>
        </is>
      </c>
      <c r="F5" s="100" t="inlineStr">
        <is>
          <t>Referente tecnico cliente</t>
        </is>
      </c>
      <c r="G5" s="146" t="inlineStr">
        <is>
          <t>Fase Discovery</t>
        </is>
      </c>
      <c r="H5" s="147" t="inlineStr">
        <is>
          <t>Richiedere documentazione tecnica in fase di gara</t>
        </is>
      </c>
      <c r="I5" s="90" t="n"/>
      <c r="J5" s="89" t="n"/>
    </row>
    <row r="6" ht="57" customHeight="1" s="80">
      <c r="A6" s="141" t="inlineStr">
        <is>
          <t>A-003</t>
        </is>
      </c>
      <c r="B6" s="104" t="inlineStr">
        <is>
          <t>Dati</t>
        </is>
      </c>
      <c r="C6" s="142" t="inlineStr">
        <is>
          <t>La qualità dei dati da migrare è ≥ 80% (no deduplicazione massiva richiesta). Volume &lt; 1TB</t>
        </is>
      </c>
      <c r="D6" s="142" t="inlineStr">
        <is>
          <t>Medio: bassa qualità dati aumenta effort ETL del 30-50%</t>
        </is>
      </c>
      <c r="E6" s="148" t="inlineStr">
        <is>
          <t>Assunzione</t>
        </is>
      </c>
      <c r="F6" s="104" t="inlineStr">
        <is>
          <t>Data Owner Cliente</t>
        </is>
      </c>
      <c r="G6" s="141" t="inlineStr">
        <is>
          <t>Fase Discovery</t>
        </is>
      </c>
      <c r="H6" s="142" t="inlineStr">
        <is>
          <t>Eseguire data profiling nella prima settimana</t>
        </is>
      </c>
      <c r="I6" s="88" t="n"/>
      <c r="J6" s="89" t="n"/>
    </row>
    <row r="7" ht="68.25" customHeight="1" s="80">
      <c r="A7" s="146" t="inlineStr">
        <is>
          <t>A-004</t>
        </is>
      </c>
      <c r="B7" s="100" t="inlineStr">
        <is>
          <t>Risorse Cliente</t>
        </is>
      </c>
      <c r="C7" s="147" t="inlineStr">
        <is>
          <t>Il cliente garantisce disponibilità di 1 referente funzionale e 1 tecnico per almeno 2 gg/settimana</t>
        </is>
      </c>
      <c r="D7" s="147" t="inlineStr">
        <is>
          <t>Alto: mancanza presidio cliente blocca validazioni e decisioni</t>
        </is>
      </c>
      <c r="E7" s="148" t="inlineStr">
        <is>
          <t>Assunzione</t>
        </is>
      </c>
      <c r="F7" s="100" t="inlineStr">
        <is>
          <t>PMO Cliente</t>
        </is>
      </c>
      <c r="G7" s="146" t="inlineStr">
        <is>
          <t>Kick-off</t>
        </is>
      </c>
      <c r="H7" s="147" t="inlineStr">
        <is>
          <t>Includere clausola SLA nel contratto</t>
        </is>
      </c>
      <c r="I7" s="90" t="n"/>
      <c r="J7" s="89" t="n"/>
    </row>
    <row r="8" ht="79.5" customHeight="1" s="80">
      <c r="A8" s="141" t="inlineStr">
        <is>
          <t>A-005</t>
        </is>
      </c>
      <c r="B8" s="104" t="inlineStr">
        <is>
          <t>Tecnologia</t>
        </is>
      </c>
      <c r="C8" s="142" t="inlineStr">
        <is>
          <t>Lo stack tecnologico proposto (cloud-native, microservizi) è approvabile dal cliente senza restrizioni normative</t>
        </is>
      </c>
      <c r="D8" s="142" t="inlineStr">
        <is>
          <t>Medio: vincoli normativi o policy IT possono richiedere redesign architetturale</t>
        </is>
      </c>
      <c r="E8" s="143" t="inlineStr">
        <is>
          <t>Da verificare</t>
        </is>
      </c>
      <c r="F8" s="104" t="inlineStr">
        <is>
          <t>CTO / CISO Cliente</t>
        </is>
      </c>
      <c r="G8" s="141" t="inlineStr">
        <is>
          <t>Fase Design</t>
        </is>
      </c>
      <c r="H8" s="142" t="inlineStr">
        <is>
          <t>Verificare compliance GDPR e data residency</t>
        </is>
      </c>
      <c r="I8" s="88" t="n"/>
      <c r="J8" s="89" t="n"/>
    </row>
    <row r="9" ht="79.5" customHeight="1" s="80">
      <c r="A9" s="146" t="inlineStr">
        <is>
          <t>A-006</t>
        </is>
      </c>
      <c r="B9" s="100" t="inlineStr">
        <is>
          <t>Sicurezza</t>
        </is>
      </c>
      <c r="C9" s="147" t="inlineStr">
        <is>
          <t>Non è richiesto un assessment di sicurezza certificato (VAPT esterno) — incluso interno</t>
        </is>
      </c>
      <c r="D9" s="147" t="inlineStr">
        <is>
          <t>Basso: se richiesto VAPT esterno certificato, aggiungere 10-15 GG/U + costi terzi</t>
        </is>
      </c>
      <c r="E9" s="148" t="inlineStr">
        <is>
          <t>Assunzione</t>
        </is>
      </c>
      <c r="F9" s="100" t="inlineStr">
        <is>
          <t>Security Officer</t>
        </is>
      </c>
      <c r="G9" s="146" t="inlineStr">
        <is>
          <t>Prima offerta</t>
        </is>
      </c>
      <c r="H9" s="147" t="inlineStr">
        <is>
          <t>Verificare nel capitolato tecnico</t>
        </is>
      </c>
      <c r="I9" s="90" t="n"/>
      <c r="J9" s="89" t="n"/>
    </row>
    <row r="10" ht="34.5" customHeight="1" s="80">
      <c r="A10" s="141" t="inlineStr">
        <is>
          <t>A-007</t>
        </is>
      </c>
      <c r="B10" s="104" t="inlineStr">
        <is>
          <t>PMO</t>
        </is>
      </c>
      <c r="C10" s="142" t="inlineStr">
        <is>
          <t>Il team proposto lavorerà in modalità ibrida (on-site 2 gg/settimana, remote il resto)</t>
        </is>
      </c>
      <c r="D10" s="142" t="inlineStr">
        <is>
          <t>Basso</t>
        </is>
      </c>
      <c r="E10" s="149" t="inlineStr">
        <is>
          <t>Confermata</t>
        </is>
      </c>
      <c r="F10" s="104" t="inlineStr">
        <is>
          <t>Contratto</t>
        </is>
      </c>
      <c r="G10" s="141" t="inlineStr">
        <is>
          <t>—</t>
        </is>
      </c>
      <c r="H10" s="142" t="inlineStr">
        <is>
          <t>Includere piano di lavoro nel contratto</t>
        </is>
      </c>
      <c r="I10" s="88" t="n"/>
      <c r="J10" s="89" t="n"/>
    </row>
    <row r="11" ht="15" customHeight="1" s="80">
      <c r="I11" s="90" t="n"/>
      <c r="J11" s="89" t="n"/>
    </row>
    <row r="12" ht="15" customHeight="1" s="80">
      <c r="I12" s="88" t="n"/>
      <c r="J12" s="89" t="n"/>
    </row>
    <row r="13" ht="15" customHeight="1" s="80">
      <c r="A13" s="83" t="inlineStr">
        <is>
          <t>SEZIONE B — REGISTRO DEI RISCHI</t>
        </is>
      </c>
      <c r="B13" s="84" t="n"/>
      <c r="C13" s="84" t="n"/>
      <c r="D13" s="84" t="n"/>
      <c r="E13" s="84" t="n"/>
      <c r="F13" s="84" t="n"/>
      <c r="G13" s="84" t="n"/>
      <c r="H13" s="84" t="n"/>
      <c r="I13" s="90" t="n"/>
      <c r="J13" s="89" t="n"/>
    </row>
    <row r="14" ht="15" customHeight="1" s="80">
      <c r="A14" s="139" t="inlineStr">
        <is>
          <t>ID</t>
        </is>
      </c>
      <c r="B14" s="139" t="inlineStr">
        <is>
          <t>Categoria</t>
        </is>
      </c>
      <c r="C14" s="139" t="inlineStr">
        <is>
          <t>Descrizione Rischio</t>
        </is>
      </c>
      <c r="D14" s="139" t="inlineStr">
        <is>
          <t>Probabilità</t>
        </is>
      </c>
      <c r="E14" s="139" t="inlineStr">
        <is>
          <t>Impatto</t>
        </is>
      </c>
      <c r="F14" s="139" t="inlineStr">
        <is>
          <t>Score (P×I)</t>
        </is>
      </c>
      <c r="G14" s="139" t="inlineStr">
        <is>
          <t>Strategia di Mitigazione</t>
        </is>
      </c>
      <c r="H14" s="139" t="inlineStr">
        <is>
          <t>Owner</t>
        </is>
      </c>
      <c r="I14" s="88" t="n"/>
      <c r="J14" s="89" t="n"/>
    </row>
    <row r="15" ht="34.5" customHeight="1" s="80">
      <c r="A15" s="141" t="inlineStr">
        <is>
          <t>R-001</t>
        </is>
      </c>
      <c r="B15" s="104" t="inlineStr">
        <is>
          <t>Tecnologico</t>
        </is>
      </c>
      <c r="C15" s="142" t="inlineStr">
        <is>
          <t>Complessità elevata dell'integrazione con sistemi legacy non documentati causa ritardi significativi</t>
        </is>
      </c>
      <c r="D15" s="141" t="inlineStr">
        <is>
          <t>Alta (3)</t>
        </is>
      </c>
      <c r="E15" s="141" t="inlineStr">
        <is>
          <t>Alto (3)</t>
        </is>
      </c>
      <c r="F15" s="165" t="inlineStr">
        <is>
          <t>9 — CRITICO</t>
        </is>
      </c>
      <c r="G15" s="142" t="inlineStr">
        <is>
          <t>Eseguire spike tecnico nelle prime 2 settimane. Prevedere buffer del 20% sull'effort integrazione</t>
        </is>
      </c>
      <c r="H15" s="104" t="inlineStr">
        <is>
          <t>Tech Lead</t>
        </is>
      </c>
      <c r="I15" s="90" t="n"/>
      <c r="J15" s="89" t="n"/>
    </row>
    <row r="16" ht="34.5" customHeight="1" s="80">
      <c r="A16" s="146" t="inlineStr">
        <is>
          <t>R-002</t>
        </is>
      </c>
      <c r="B16" s="100" t="inlineStr">
        <is>
          <t>Risorse</t>
        </is>
      </c>
      <c r="C16" s="147" t="inlineStr">
        <is>
          <t>Turnover o indisponibilità di profili chiave (Architect, Tech Lead) durante il progetto</t>
        </is>
      </c>
      <c r="D16" s="146" t="inlineStr">
        <is>
          <t>Media (2)</t>
        </is>
      </c>
      <c r="E16" s="146" t="inlineStr">
        <is>
          <t>Alto (3)</t>
        </is>
      </c>
      <c r="F16" s="143" t="inlineStr">
        <is>
          <t>6 — ALTO</t>
        </is>
      </c>
      <c r="G16" s="147" t="inlineStr">
        <is>
          <t>Knowledge sharing obbligatorio, documentazione continua, backup profile identificati</t>
        </is>
      </c>
      <c r="H16" s="100" t="inlineStr">
        <is>
          <t>HR / PM</t>
        </is>
      </c>
      <c r="I16" s="88" t="n"/>
      <c r="J16" s="89" t="n"/>
    </row>
    <row r="17" ht="34.5" customHeight="1" s="80">
      <c r="A17" s="141" t="inlineStr">
        <is>
          <t>R-003</t>
        </is>
      </c>
      <c r="B17" s="104" t="inlineStr">
        <is>
          <t>Scope</t>
        </is>
      </c>
      <c r="C17" s="142" t="inlineStr">
        <is>
          <t>Richieste di change non gestite (scope creep) aumentano effort oltre il budget</t>
        </is>
      </c>
      <c r="D17" s="141" t="inlineStr">
        <is>
          <t>Alta (3)</t>
        </is>
      </c>
      <c r="E17" s="141" t="inlineStr">
        <is>
          <t>Medio (2)</t>
        </is>
      </c>
      <c r="F17" s="143" t="inlineStr">
        <is>
          <t>6 — ALTO</t>
        </is>
      </c>
      <c r="G17" s="142" t="inlineStr">
        <is>
          <t>Processo formale di Change Request con impact assessment e approvazione. Backlog gestito</t>
        </is>
      </c>
      <c r="H17" s="104" t="inlineStr">
        <is>
          <t>PM / PMO</t>
        </is>
      </c>
      <c r="I17" s="90" t="n"/>
      <c r="J17" s="89" t="n"/>
    </row>
    <row r="18" ht="34.5" customHeight="1" s="80">
      <c r="A18" s="146" t="inlineStr">
        <is>
          <t>R-004</t>
        </is>
      </c>
      <c r="B18" s="100" t="inlineStr">
        <is>
          <t>Dati</t>
        </is>
      </c>
      <c r="C18" s="147" t="inlineStr">
        <is>
          <t>Qualità dei dati sorgente inferiore alle aspettative richiede effort massivo di data cleansing</t>
        </is>
      </c>
      <c r="D18" s="146" t="inlineStr">
        <is>
          <t>Media (2)</t>
        </is>
      </c>
      <c r="E18" s="146" t="inlineStr">
        <is>
          <t>Alto (3)</t>
        </is>
      </c>
      <c r="F18" s="143" t="inlineStr">
        <is>
          <t>6 — ALTO</t>
        </is>
      </c>
      <c r="G18" s="147" t="inlineStr">
        <is>
          <t>Data profiling nella fase Discovery. Definire criteri accettazione dati nel contratto</t>
        </is>
      </c>
      <c r="H18" s="100" t="inlineStr">
        <is>
          <t>Data Engineer</t>
        </is>
      </c>
      <c r="I18" s="88" t="n"/>
      <c r="J18" s="89" t="n"/>
    </row>
    <row r="19" ht="34.5" customHeight="1" s="80">
      <c r="A19" s="141" t="inlineStr">
        <is>
          <t>R-005</t>
        </is>
      </c>
      <c r="B19" s="104" t="inlineStr">
        <is>
          <t>Tempi</t>
        </is>
      </c>
      <c r="C19" s="142" t="inlineStr">
        <is>
          <t>Dipendenze esterne (approvazioni cliente, ambienti, forniture) ritardano milestone critiche</t>
        </is>
      </c>
      <c r="D19" s="141" t="inlineStr">
        <is>
          <t>Media (2)</t>
        </is>
      </c>
      <c r="E19" s="141" t="inlineStr">
        <is>
          <t>Medio (2)</t>
        </is>
      </c>
      <c r="F19" s="148" t="inlineStr">
        <is>
          <t>4 — MEDIO</t>
        </is>
      </c>
      <c r="G19" s="142" t="inlineStr">
        <is>
          <t>Piano di progetto con buffer espliciti. Escalation path definito e comunicato a steering</t>
        </is>
      </c>
      <c r="H19" s="104" t="inlineStr">
        <is>
          <t>PM</t>
        </is>
      </c>
      <c r="I19" s="90" t="n"/>
      <c r="J19" s="89" t="n"/>
    </row>
    <row r="20" ht="34.5" customHeight="1" s="80">
      <c r="A20" s="146" t="inlineStr">
        <is>
          <t>R-006</t>
        </is>
      </c>
      <c r="B20" s="100" t="inlineStr">
        <is>
          <t>Sicurezza</t>
        </is>
      </c>
      <c r="C20" s="147" t="inlineStr">
        <is>
          <t>Vulnerabilità scoperte durante VAPT richiedono rework significativo del codice</t>
        </is>
      </c>
      <c r="D20" s="146" t="inlineStr">
        <is>
          <t>Bassa (1)</t>
        </is>
      </c>
      <c r="E20" s="146" t="inlineStr">
        <is>
          <t>Alto (3)</t>
        </is>
      </c>
      <c r="F20" s="148" t="inlineStr">
        <is>
          <t>3 — MEDIO</t>
        </is>
      </c>
      <c r="G20" s="147" t="inlineStr">
        <is>
          <t>Secure coding practices fin dalla fase Build. OWASP Top10 checklist. Code review sistematica</t>
        </is>
      </c>
      <c r="H20" s="100" t="inlineStr">
        <is>
          <t>Sec Engineer</t>
        </is>
      </c>
      <c r="I20" s="88" t="n"/>
      <c r="J20" s="89" t="n"/>
    </row>
    <row r="21" ht="34.5" customHeight="1" s="80">
      <c r="A21" s="141" t="inlineStr">
        <is>
          <t>R-007</t>
        </is>
      </c>
      <c r="B21" s="104" t="inlineStr">
        <is>
          <t>Vendor</t>
        </is>
      </c>
      <c r="C21" s="142" t="inlineStr">
        <is>
          <t>Dipendenza da vendor terzi (licenze, supporto) per componenti critici della soluzione</t>
        </is>
      </c>
      <c r="D21" s="141" t="inlineStr">
        <is>
          <t>Bassa (1)</t>
        </is>
      </c>
      <c r="E21" s="141" t="inlineStr">
        <is>
          <t>Medio (2)</t>
        </is>
      </c>
      <c r="F21" s="149" t="inlineStr">
        <is>
          <t>2 — BASSO</t>
        </is>
      </c>
      <c r="G21" s="142" t="inlineStr">
        <is>
          <t>Valutare alternative open source. Includere SLA vendor nei contratti di fornitura</t>
        </is>
      </c>
      <c r="H21" s="104" t="inlineStr">
        <is>
          <t>Architect</t>
        </is>
      </c>
      <c r="I21" s="90" t="n"/>
      <c r="J21" s="89" t="n"/>
    </row>
  </sheetData>
  <mergeCells count="3">
    <mergeCell ref="A13:H1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79" min="1" max="1"/>
    <col width="14" customWidth="1" style="79" min="2" max="2"/>
    <col width="28" customWidth="1" style="79" min="3" max="3"/>
    <col width="36" customWidth="1" style="79" min="4" max="4"/>
    <col width="30" customWidth="1" style="79" min="5" max="5"/>
    <col width="22" customWidth="1" style="79" min="6" max="6"/>
    <col width="36" customWidth="1" style="79" min="7" max="7"/>
    <col width="12" customWidth="1" style="79" min="8" max="9"/>
  </cols>
  <sheetData>
    <row r="1" ht="25.5" customHeight="1" s="80">
      <c r="A1" s="120" t="inlineStr">
        <is>
          <t>QA OPEN POINTS — DOMANDE AL CLIENTE</t>
        </is>
      </c>
    </row>
    <row r="2" ht="15.75" customHeight="1" s="80">
      <c r="A2" s="166" t="inlineStr">
        <is>
          <t>Domande aperte da sottoporre al cliente prima della presentazione dell'offerta · Compilare colonna "Risposta cliente" e aggiornare "Stato"</t>
        </is>
      </c>
    </row>
    <row r="3" ht="19.5" customHeight="1" s="80">
      <c r="A3" s="85" t="inlineStr">
        <is>
          <t>ID</t>
        </is>
      </c>
      <c r="B3" s="85" t="inlineStr">
        <is>
          <t>Categoria</t>
        </is>
      </c>
      <c r="C3" s="85" t="inlineStr">
        <is>
          <t>Riferimento bando</t>
        </is>
      </c>
      <c r="D3" s="85" t="inlineStr">
        <is>
          <t>Domanda</t>
        </is>
      </c>
      <c r="E3" s="85" t="inlineStr">
        <is>
          <t>Opzioni / Scenari</t>
        </is>
      </c>
      <c r="F3" s="85" t="inlineStr">
        <is>
          <t>Impatto stima</t>
        </is>
      </c>
      <c r="G3" s="85" t="inlineStr">
        <is>
          <t>Risposta cliente</t>
        </is>
      </c>
      <c r="H3" s="85" t="inlineStr">
        <is>
          <t>Stato</t>
        </is>
      </c>
      <c r="I3" s="85" t="inlineStr">
        <is>
          <t>Certezza</t>
        </is>
      </c>
    </row>
    <row r="4" ht="39.75" customHeight="1" s="80">
      <c r="A4" s="167" t="n"/>
      <c r="B4" s="168" t="n"/>
      <c r="C4" s="168" t="n"/>
      <c r="D4" s="168" t="n"/>
      <c r="E4" s="168" t="n"/>
      <c r="F4" s="168" t="n"/>
      <c r="G4" s="169" t="n"/>
      <c r="H4" s="170" t="n"/>
      <c r="I4" s="89" t="n"/>
    </row>
    <row r="5" ht="39.75" customHeight="1" s="80">
      <c r="A5" s="167" t="n"/>
      <c r="B5" s="171" t="n"/>
      <c r="C5" s="171" t="n"/>
      <c r="D5" s="171" t="n"/>
      <c r="E5" s="171" t="n"/>
      <c r="F5" s="171" t="n"/>
      <c r="G5" s="169" t="n"/>
      <c r="H5" s="170" t="n"/>
      <c r="I5" s="89" t="n"/>
    </row>
    <row r="6" ht="39.75" customHeight="1" s="80">
      <c r="A6" s="167" t="n"/>
      <c r="B6" s="168" t="n"/>
      <c r="C6" s="168" t="n"/>
      <c r="D6" s="168" t="n"/>
      <c r="E6" s="168" t="n"/>
      <c r="F6" s="168" t="n"/>
      <c r="G6" s="169" t="n"/>
      <c r="H6" s="170" t="n"/>
      <c r="I6" s="89" t="n"/>
    </row>
    <row r="7" ht="39.75" customHeight="1" s="80">
      <c r="A7" s="167" t="n"/>
      <c r="B7" s="171" t="n"/>
      <c r="C7" s="171" t="n"/>
      <c r="D7" s="171" t="n"/>
      <c r="E7" s="171" t="n"/>
      <c r="F7" s="171" t="n"/>
      <c r="G7" s="169" t="n"/>
      <c r="H7" s="170" t="n"/>
      <c r="I7" s="89" t="n"/>
    </row>
    <row r="8" ht="39.75" customHeight="1" s="80">
      <c r="A8" s="167" t="n"/>
      <c r="B8" s="168" t="n"/>
      <c r="C8" s="168" t="n"/>
      <c r="D8" s="168" t="n"/>
      <c r="E8" s="168" t="n"/>
      <c r="F8" s="168" t="n"/>
      <c r="G8" s="169" t="n"/>
      <c r="H8" s="170" t="n"/>
      <c r="I8" s="89" t="n"/>
    </row>
    <row r="9" ht="39.75" customHeight="1" s="80">
      <c r="A9" s="167" t="n"/>
      <c r="B9" s="171" t="n"/>
      <c r="C9" s="171" t="n"/>
      <c r="D9" s="171" t="n"/>
      <c r="E9" s="171" t="n"/>
      <c r="F9" s="171" t="n"/>
      <c r="G9" s="169" t="n"/>
      <c r="H9" s="170" t="n"/>
      <c r="I9" s="89" t="n"/>
    </row>
    <row r="10" ht="39.75" customHeight="1" s="80">
      <c r="A10" s="167" t="n"/>
      <c r="B10" s="168" t="n"/>
      <c r="C10" s="168" t="n"/>
      <c r="D10" s="168" t="n"/>
      <c r="E10" s="168" t="n"/>
      <c r="F10" s="168" t="n"/>
      <c r="G10" s="169" t="n"/>
      <c r="H10" s="170" t="n"/>
      <c r="I10" s="89" t="n"/>
    </row>
    <row r="11" ht="39.75" customHeight="1" s="80">
      <c r="A11" s="167" t="n"/>
      <c r="B11" s="171" t="n"/>
      <c r="C11" s="171" t="n"/>
      <c r="D11" s="171" t="n"/>
      <c r="E11" s="171" t="n"/>
      <c r="F11" s="171" t="n"/>
      <c r="G11" s="169" t="n"/>
      <c r="H11" s="170" t="n"/>
      <c r="I11" s="89" t="n"/>
    </row>
    <row r="12" ht="39.75" customHeight="1" s="80">
      <c r="A12" s="167" t="n"/>
      <c r="B12" s="168" t="n"/>
      <c r="C12" s="168" t="n"/>
      <c r="D12" s="168" t="n"/>
      <c r="E12" s="168" t="n"/>
      <c r="F12" s="168" t="n"/>
      <c r="G12" s="169" t="n"/>
      <c r="H12" s="170" t="n"/>
      <c r="I12" s="89" t="n"/>
    </row>
    <row r="13" ht="39.75" customHeight="1" s="80">
      <c r="A13" s="167" t="n"/>
      <c r="B13" s="171" t="n"/>
      <c r="C13" s="171" t="n"/>
      <c r="D13" s="171" t="n"/>
      <c r="E13" s="171" t="n"/>
      <c r="F13" s="171" t="n"/>
      <c r="G13" s="169" t="n"/>
      <c r="H13" s="170" t="n"/>
      <c r="I13" s="89" t="n"/>
    </row>
    <row r="14" ht="39.75" customHeight="1" s="80">
      <c r="A14" s="167" t="n"/>
      <c r="B14" s="168" t="n"/>
      <c r="C14" s="168" t="n"/>
      <c r="D14" s="168" t="n"/>
      <c r="E14" s="168" t="n"/>
      <c r="F14" s="168" t="n"/>
      <c r="G14" s="169" t="n"/>
      <c r="H14" s="170" t="n"/>
      <c r="I14" s="89" t="n"/>
    </row>
    <row r="15" ht="39.75" customHeight="1" s="80">
      <c r="A15" s="167" t="n"/>
      <c r="B15" s="171" t="n"/>
      <c r="C15" s="171" t="n"/>
      <c r="D15" s="171" t="n"/>
      <c r="E15" s="171" t="n"/>
      <c r="F15" s="171" t="n"/>
      <c r="G15" s="169" t="n"/>
      <c r="H15" s="170" t="n"/>
      <c r="I15" s="89" t="n"/>
    </row>
    <row r="16" ht="39.75" customHeight="1" s="80">
      <c r="A16" s="167" t="n"/>
      <c r="B16" s="168" t="n"/>
      <c r="C16" s="168" t="n"/>
      <c r="D16" s="168" t="n"/>
      <c r="E16" s="168" t="n"/>
      <c r="F16" s="168" t="n"/>
      <c r="G16" s="169" t="n"/>
      <c r="H16" s="170" t="n"/>
      <c r="I16" s="89" t="n"/>
    </row>
    <row r="17" ht="39.75" customHeight="1" s="80">
      <c r="A17" s="167" t="n"/>
      <c r="B17" s="171" t="n"/>
      <c r="C17" s="171" t="n"/>
      <c r="D17" s="171" t="n"/>
      <c r="E17" s="171" t="n"/>
      <c r="F17" s="171" t="n"/>
      <c r="G17" s="169" t="n"/>
      <c r="H17" s="170" t="n"/>
      <c r="I17" s="89" t="n"/>
    </row>
    <row r="18" ht="39.75" customHeight="1" s="80">
      <c r="A18" s="167" t="n"/>
      <c r="B18" s="168" t="n"/>
      <c r="C18" s="168" t="n"/>
      <c r="D18" s="168" t="n"/>
      <c r="E18" s="168" t="n"/>
      <c r="F18" s="168" t="n"/>
      <c r="G18" s="169" t="n"/>
      <c r="H18" s="170" t="n"/>
      <c r="I18" s="89" t="n"/>
    </row>
    <row r="19" ht="39.75" customHeight="1" s="80">
      <c r="A19" s="167" t="n"/>
      <c r="B19" s="171" t="n"/>
      <c r="C19" s="171" t="n"/>
      <c r="D19" s="171" t="n"/>
      <c r="E19" s="171" t="n"/>
      <c r="F19" s="171" t="n"/>
      <c r="G19" s="169" t="n"/>
      <c r="H19" s="170" t="n"/>
      <c r="I19" s="89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79" min="1" max="1"/>
    <col width="14" customWidth="1" style="79" min="2" max="2"/>
    <col width="16" customWidth="1" style="79" min="3" max="3"/>
    <col width="32" customWidth="1" style="79" min="4" max="4"/>
    <col width="30" customWidth="1" style="79" min="5" max="5"/>
    <col width="12" customWidth="1" style="79" min="6" max="6"/>
    <col width="36" customWidth="1" style="79" min="7" max="7"/>
    <col width="26" customWidth="1" style="79" min="8" max="8"/>
    <col width="12" customWidth="1" style="79" min="9" max="9"/>
    <col width="16" customWidth="1" style="79" min="10" max="10"/>
  </cols>
  <sheetData>
    <row r="1" ht="25.5" customHeight="1" s="80">
      <c r="A1" s="120" t="inlineStr">
        <is>
          <t>AUDIT TRAIL — TRACCIABILITÀ DELLE DECISIONI</t>
        </is>
      </c>
    </row>
    <row r="2" ht="19.5" customHeight="1" s="80">
      <c r="A2" s="166" t="inlineStr">
        <is>
          <t>Ogni decisione non ovvia è documentata qui con fonte e ragionamento  ·  🟢 Estratto dal testo  ·  🟡 Inferito con ragionamento  ·  🔴 Assunto in assenza di informazioni</t>
        </is>
      </c>
    </row>
    <row r="3" ht="21.75" customHeight="1" s="80">
      <c r="A3" s="85" t="inlineStr">
        <is>
          <t>ID</t>
        </is>
      </c>
      <c r="B3" s="85" t="inlineStr">
        <is>
          <t>Foglio</t>
        </is>
      </c>
      <c r="C3" s="85" t="inlineStr">
        <is>
          <t>Campo / Cella</t>
        </is>
      </c>
      <c r="D3" s="85" t="inlineStr">
        <is>
          <t>Decisione presa</t>
        </is>
      </c>
      <c r="E3" s="85" t="inlineStr">
        <is>
          <t>Fonte nel bando</t>
        </is>
      </c>
      <c r="F3" s="85" t="inlineStr">
        <is>
          <t>Pag. / Sez.</t>
        </is>
      </c>
      <c r="G3" s="85" t="inlineStr">
        <is>
          <t>Ragionamento</t>
        </is>
      </c>
      <c r="H3" s="85" t="inlineStr">
        <is>
          <t>Alternativa scartata</t>
        </is>
      </c>
      <c r="I3" s="85" t="inlineStr">
        <is>
          <t>Certezza</t>
        </is>
      </c>
      <c r="J3" s="85" t="inlineStr">
        <is>
          <t>Verificato da</t>
        </is>
      </c>
    </row>
    <row r="4" ht="39.75" customHeight="1" s="80">
      <c r="A4" s="172" t="n"/>
      <c r="B4" s="90" t="n"/>
      <c r="C4" s="90" t="n"/>
      <c r="D4" s="90" t="n"/>
      <c r="E4" s="90" t="n"/>
      <c r="F4" s="90" t="n"/>
      <c r="G4" s="90" t="n"/>
      <c r="H4" s="90" t="n"/>
      <c r="I4" s="89" t="n"/>
      <c r="J4" s="173" t="n"/>
    </row>
    <row r="5" ht="39.75" customHeight="1" s="80">
      <c r="A5" s="172" t="n"/>
      <c r="B5" s="88" t="n"/>
      <c r="C5" s="88" t="n"/>
      <c r="D5" s="88" t="n"/>
      <c r="E5" s="88" t="n"/>
      <c r="F5" s="88" t="n"/>
      <c r="G5" s="88" t="n"/>
      <c r="H5" s="88" t="n"/>
      <c r="I5" s="89" t="n"/>
      <c r="J5" s="173" t="n"/>
    </row>
    <row r="6" ht="39.75" customHeight="1" s="80">
      <c r="A6" s="172" t="n"/>
      <c r="B6" s="90" t="n"/>
      <c r="C6" s="90" t="n"/>
      <c r="D6" s="90" t="n"/>
      <c r="E6" s="90" t="n"/>
      <c r="F6" s="90" t="n"/>
      <c r="G6" s="90" t="n"/>
      <c r="H6" s="90" t="n"/>
      <c r="I6" s="89" t="n"/>
      <c r="J6" s="173" t="n"/>
    </row>
    <row r="7" ht="39.75" customHeight="1" s="80">
      <c r="A7" s="172" t="n"/>
      <c r="B7" s="88" t="n"/>
      <c r="C7" s="88" t="n"/>
      <c r="D7" s="88" t="n"/>
      <c r="E7" s="88" t="n"/>
      <c r="F7" s="88" t="n"/>
      <c r="G7" s="88" t="n"/>
      <c r="H7" s="88" t="n"/>
      <c r="I7" s="89" t="n"/>
      <c r="J7" s="173" t="n"/>
    </row>
    <row r="8" ht="39.75" customHeight="1" s="80">
      <c r="A8" s="172" t="n"/>
      <c r="B8" s="90" t="n"/>
      <c r="C8" s="90" t="n"/>
      <c r="D8" s="90" t="n"/>
      <c r="E8" s="90" t="n"/>
      <c r="F8" s="90" t="n"/>
      <c r="G8" s="90" t="n"/>
      <c r="H8" s="90" t="n"/>
      <c r="I8" s="89" t="n"/>
      <c r="J8" s="173" t="n"/>
    </row>
    <row r="9" ht="39.75" customHeight="1" s="80">
      <c r="A9" s="172" t="n"/>
      <c r="B9" s="88" t="n"/>
      <c r="C9" s="88" t="n"/>
      <c r="D9" s="88" t="n"/>
      <c r="E9" s="88" t="n"/>
      <c r="F9" s="88" t="n"/>
      <c r="G9" s="88" t="n"/>
      <c r="H9" s="88" t="n"/>
      <c r="I9" s="89" t="n"/>
      <c r="J9" s="173" t="n"/>
    </row>
    <row r="10" ht="39.75" customHeight="1" s="80">
      <c r="A10" s="172" t="n"/>
      <c r="B10" s="90" t="n"/>
      <c r="C10" s="90" t="n"/>
      <c r="D10" s="90" t="n"/>
      <c r="E10" s="90" t="n"/>
      <c r="F10" s="90" t="n"/>
      <c r="G10" s="90" t="n"/>
      <c r="H10" s="90" t="n"/>
      <c r="I10" s="89" t="n"/>
      <c r="J10" s="173" t="n"/>
    </row>
    <row r="11" ht="39.75" customHeight="1" s="80">
      <c r="A11" s="172" t="n"/>
      <c r="B11" s="88" t="n"/>
      <c r="C11" s="88" t="n"/>
      <c r="D11" s="88" t="n"/>
      <c r="E11" s="88" t="n"/>
      <c r="F11" s="88" t="n"/>
      <c r="G11" s="88" t="n"/>
      <c r="H11" s="88" t="n"/>
      <c r="I11" s="89" t="n"/>
      <c r="J11" s="173" t="n"/>
    </row>
    <row r="12" ht="39.75" customHeight="1" s="80">
      <c r="A12" s="172" t="n"/>
      <c r="B12" s="90" t="n"/>
      <c r="C12" s="90" t="n"/>
      <c r="D12" s="90" t="n"/>
      <c r="E12" s="90" t="n"/>
      <c r="F12" s="90" t="n"/>
      <c r="G12" s="90" t="n"/>
      <c r="H12" s="90" t="n"/>
      <c r="I12" s="89" t="n"/>
      <c r="J12" s="173" t="n"/>
    </row>
    <row r="13" ht="39.75" customHeight="1" s="80">
      <c r="A13" s="172" t="n"/>
      <c r="B13" s="88" t="n"/>
      <c r="C13" s="88" t="n"/>
      <c r="D13" s="88" t="n"/>
      <c r="E13" s="88" t="n"/>
      <c r="F13" s="88" t="n"/>
      <c r="G13" s="88" t="n"/>
      <c r="H13" s="88" t="n"/>
      <c r="I13" s="89" t="n"/>
      <c r="J13" s="173" t="n"/>
    </row>
    <row r="14" ht="39.75" customHeight="1" s="80">
      <c r="A14" s="172" t="n"/>
      <c r="B14" s="90" t="n"/>
      <c r="C14" s="90" t="n"/>
      <c r="D14" s="90" t="n"/>
      <c r="E14" s="90" t="n"/>
      <c r="F14" s="90" t="n"/>
      <c r="G14" s="90" t="n"/>
      <c r="H14" s="90" t="n"/>
      <c r="I14" s="89" t="n"/>
      <c r="J14" s="173" t="n"/>
    </row>
    <row r="15" ht="39.75" customHeight="1" s="80">
      <c r="A15" s="172" t="n"/>
      <c r="B15" s="88" t="n"/>
      <c r="C15" s="88" t="n"/>
      <c r="D15" s="88" t="n"/>
      <c r="E15" s="88" t="n"/>
      <c r="F15" s="88" t="n"/>
      <c r="G15" s="88" t="n"/>
      <c r="H15" s="88" t="n"/>
      <c r="I15" s="89" t="n"/>
      <c r="J15" s="173" t="n"/>
    </row>
    <row r="16" ht="39.75" customHeight="1" s="80">
      <c r="A16" s="172" t="n"/>
      <c r="B16" s="90" t="n"/>
      <c r="C16" s="90" t="n"/>
      <c r="D16" s="90" t="n"/>
      <c r="E16" s="90" t="n"/>
      <c r="F16" s="90" t="n"/>
      <c r="G16" s="90" t="n"/>
      <c r="H16" s="90" t="n"/>
      <c r="I16" s="89" t="n"/>
      <c r="J16" s="173" t="n"/>
    </row>
    <row r="17" ht="39.75" customHeight="1" s="80">
      <c r="A17" s="172" t="n"/>
      <c r="B17" s="88" t="n"/>
      <c r="C17" s="88" t="n"/>
      <c r="D17" s="88" t="n"/>
      <c r="E17" s="88" t="n"/>
      <c r="F17" s="88" t="n"/>
      <c r="G17" s="88" t="n"/>
      <c r="H17" s="88" t="n"/>
      <c r="I17" s="89" t="n"/>
      <c r="J17" s="173" t="n"/>
    </row>
    <row r="18" ht="39.75" customHeight="1" s="80">
      <c r="A18" s="172" t="n"/>
      <c r="B18" s="90" t="n"/>
      <c r="C18" s="90" t="n"/>
      <c r="D18" s="90" t="n"/>
      <c r="E18" s="90" t="n"/>
      <c r="F18" s="90" t="n"/>
      <c r="G18" s="90" t="n"/>
      <c r="H18" s="90" t="n"/>
      <c r="I18" s="89" t="n"/>
      <c r="J18" s="173" t="n"/>
    </row>
    <row r="19" ht="39.75" customHeight="1" s="80">
      <c r="A19" s="172" t="n"/>
      <c r="B19" s="88" t="n"/>
      <c r="C19" s="88" t="n"/>
      <c r="D19" s="88" t="n"/>
      <c r="E19" s="88" t="n"/>
      <c r="F19" s="88" t="n"/>
      <c r="G19" s="88" t="n"/>
      <c r="H19" s="88" t="n"/>
      <c r="I19" s="89" t="n"/>
      <c r="J19" s="173" t="n"/>
    </row>
    <row r="20" ht="39.75" customHeight="1" s="80">
      <c r="A20" s="172" t="n"/>
      <c r="B20" s="90" t="n"/>
      <c r="C20" s="90" t="n"/>
      <c r="D20" s="90" t="n"/>
      <c r="E20" s="90" t="n"/>
      <c r="F20" s="90" t="n"/>
      <c r="G20" s="90" t="n"/>
      <c r="H20" s="90" t="n"/>
      <c r="I20" s="89" t="n"/>
      <c r="J20" s="173" t="n"/>
    </row>
    <row r="21" ht="39.75" customHeight="1" s="80">
      <c r="A21" s="172" t="n"/>
      <c r="B21" s="88" t="n"/>
      <c r="C21" s="88" t="n"/>
      <c r="D21" s="88" t="n"/>
      <c r="E21" s="88" t="n"/>
      <c r="F21" s="88" t="n"/>
      <c r="G21" s="88" t="n"/>
      <c r="H21" s="88" t="n"/>
      <c r="I21" s="89" t="n"/>
      <c r="J21" s="173" t="n"/>
    </row>
    <row r="22" ht="39.75" customHeight="1" s="80">
      <c r="A22" s="172" t="n"/>
      <c r="B22" s="90" t="n"/>
      <c r="C22" s="90" t="n"/>
      <c r="D22" s="90" t="n"/>
      <c r="E22" s="90" t="n"/>
      <c r="F22" s="90" t="n"/>
      <c r="G22" s="90" t="n"/>
      <c r="H22" s="90" t="n"/>
      <c r="I22" s="89" t="n"/>
      <c r="J22" s="173" t="n"/>
    </row>
    <row r="23" ht="39.75" customHeight="1" s="80">
      <c r="A23" s="172" t="n"/>
      <c r="B23" s="88" t="n"/>
      <c r="C23" s="88" t="n"/>
      <c r="D23" s="88" t="n"/>
      <c r="E23" s="88" t="n"/>
      <c r="F23" s="88" t="n"/>
      <c r="G23" s="88" t="n"/>
      <c r="H23" s="88" t="n"/>
      <c r="I23" s="89" t="n"/>
      <c r="J23" s="173" t="n"/>
    </row>
    <row r="24" ht="39.75" customHeight="1" s="80">
      <c r="A24" s="172" t="n"/>
      <c r="B24" s="90" t="n"/>
      <c r="C24" s="90" t="n"/>
      <c r="D24" s="90" t="n"/>
      <c r="E24" s="90" t="n"/>
      <c r="F24" s="90" t="n"/>
      <c r="G24" s="90" t="n"/>
      <c r="H24" s="90" t="n"/>
      <c r="I24" s="89" t="n"/>
      <c r="J24" s="173" t="n"/>
    </row>
    <row r="27" ht="18" customHeight="1" s="80">
      <c r="A27" s="130" t="inlineStr">
        <is>
          <t>LEGENDA CERTEZZA</t>
        </is>
      </c>
    </row>
    <row r="28" ht="30" customHeight="1" s="80">
      <c r="A28" s="174" t="inlineStr">
        <is>
          <t>E — ESTRATTO</t>
        </is>
      </c>
      <c r="B28" s="175" t="inlineStr">
        <is>
          <t>Dato presente verbatim nel documento di gara. Fonte citata in "Pag. / Sez." con estratto testuale.</t>
        </is>
      </c>
      <c r="C28" s="94" t="n"/>
      <c r="D28" s="94" t="n"/>
      <c r="E28" s="94" t="n"/>
      <c r="F28" s="94" t="n"/>
      <c r="G28" s="94" t="n"/>
      <c r="H28" s="94" t="n"/>
      <c r="I28" s="94" t="n"/>
      <c r="J28" s="94" t="n"/>
    </row>
    <row r="29" ht="30" customHeight="1" s="80">
      <c r="A29" s="176" t="inlineStr">
        <is>
          <t>I — INFERITO</t>
        </is>
      </c>
      <c r="B29" s="177" t="inlineStr">
        <is>
          <t>Dato non esplicito ma ricavabile con ragionamento dal contesto. Ragionamento nella colonna "Ragionamento".</t>
        </is>
      </c>
      <c r="C29" s="94" t="n"/>
      <c r="D29" s="94" t="n"/>
      <c r="E29" s="94" t="n"/>
      <c r="F29" s="94" t="n"/>
      <c r="G29" s="94" t="n"/>
      <c r="H29" s="94" t="n"/>
      <c r="I29" s="94" t="n"/>
      <c r="J29" s="94" t="n"/>
    </row>
    <row r="30" ht="30" customHeight="1" s="80">
      <c r="A30" s="178" t="inlineStr">
        <is>
          <t>A — ASSUNTO</t>
        </is>
      </c>
      <c r="B30" s="179" t="inlineStr">
        <is>
          <t>Dato assente nel documento. Assunzione necessaria da verificare col cliente (QA Open Points).</t>
        </is>
      </c>
      <c r="C30" s="94" t="n"/>
      <c r="D30" s="94" t="n"/>
      <c r="E30" s="94" t="n"/>
      <c r="F30" s="94" t="n"/>
      <c r="G30" s="94" t="n"/>
      <c r="H30" s="94" t="n"/>
      <c r="I30" s="94" t="n"/>
      <c r="J30" s="94" t="n"/>
    </row>
  </sheetData>
  <mergeCells count="6">
    <mergeCell ref="B29:J29"/>
    <mergeCell ref="A1:J1"/>
    <mergeCell ref="B28:J28"/>
    <mergeCell ref="A27:J27"/>
    <mergeCell ref="A2:J2"/>
    <mergeCell ref="B30:J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2026-04-16T17:14:05Z</dcterms:created>
  <dcterms:modified xmlns:dcterms="http://purl.org/dc/terms/" xmlns:xsi="http://www.w3.org/2001/XMLSchema-instance" xsi:type="dcterms:W3CDTF">2026-05-11T16:56:42Z</dcterms:modified>
  <cp:lastModifiedBy>Tiberi, Fabio</cp:lastModifiedBy>
  <cp:revision>3</cp:revision>
</cp:coreProperties>
</file>