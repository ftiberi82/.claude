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RFP Analysis" sheetId="2" state="visible" r:id="rId4"/>
    <sheet name="Requirements &amp; Solution Mapping" sheetId="3" state="visible" r:id="rId5"/>
    <sheet name="Assumptions &amp; Risks" sheetId="4" state="visible" r:id="rId6"/>
    <sheet name="QA Open Points" sheetId="5" state="visible" r:id="rId7"/>
    <sheet name="Audit Trail" sheetId="6" state="visible" r:id="rId8"/>
  </sheets>
  <definedNames>
    <definedName function="false" hidden="true" localSheetId="2" name="_xlnm._FilterDatabase" vbProcedure="false">'Requirements &amp; Solution Mapping'!$A$3:$L$20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<sst xmlns="http://schemas.openxmlformats.org/spreadsheetml/2006/main" count="324" uniqueCount="280">
  <si>
    <t xml:space="preserve">DOCUMENTO DI STIMA — SOLUTION DESIGN PRELIMINARE</t>
  </si>
  <si>
    <t xml:space="preserve">Strumento di Stima per Gare d'Appalto IT | Template PMO/Solution Architect</t>
  </si>
  <si>
    <t xml:space="preserve">DATI DI PROGETTO</t>
  </si>
  <si>
    <t xml:space="preserve">Fonte / Pag.</t>
  </si>
  <si>
    <t xml:space="preserve">Certezza</t>
  </si>
  <si>
    <t xml:space="preserve">Nome Gara / Progetto:</t>
  </si>
  <si>
    <t xml:space="preserve">Scadenza Offerta:</t>
  </si>
  <si>
    <t xml:space="preserve">Cliente:</t>
  </si>
  <si>
    <t xml:space="preserve">Referente Cliente:</t>
  </si>
  <si>
    <t xml:space="preserve">Referente Interno:</t>
  </si>
  <si>
    <t xml:space="preserve">Budget Indicativo (€):</t>
  </si>
  <si>
    <t xml:space="preserve">Data Elaborazione:</t>
  </si>
  <si>
    <t xml:space="preserve">Durata Stimata (mesi):</t>
  </si>
  <si>
    <t xml:space="preserve">Versione:</t>
  </si>
  <si>
    <t xml:space="preserve">v1.0</t>
  </si>
  <si>
    <t xml:space="preserve">Tipologia Appalto:</t>
  </si>
  <si>
    <t xml:space="preserve">Stato:</t>
  </si>
  <si>
    <t xml:space="preserve">BOZZA</t>
  </si>
  <si>
    <t xml:space="preserve">Codice Gara:</t>
  </si>
  <si>
    <t xml:space="preserve">Data sottomissione domande:</t>
  </si>
  <si>
    <t xml:space="preserve">Deadline per richiesta chiarimenti al RUP/SA prima della scadenza offerta</t>
  </si>
  <si>
    <t xml:space="preserve">Data consegna offerta:</t>
  </si>
  <si>
    <t xml:space="preserve">Data limite per la presentazione dell'offerta tecnica ed economica</t>
  </si>
  <si>
    <t xml:space="preserve">RIEPILOGO ECONOMICO</t>
  </si>
  <si>
    <t xml:space="preserve">FASE</t>
  </si>
  <si>
    <t xml:space="preserve">GG/U TOTALI</t>
  </si>
  <si>
    <t xml:space="preserve">TARIFFA MEDIA (€)</t>
  </si>
  <si>
    <t xml:space="preserve">COSTO FASE (€)</t>
  </si>
  <si>
    <t xml:space="preserve">% SUL TOTALE</t>
  </si>
  <si>
    <t xml:space="preserve">Design</t>
  </si>
  <si>
    <t xml:space="preserve">Build</t>
  </si>
  <si>
    <t xml:space="preserve">Test &amp; QA</t>
  </si>
  <si>
    <t xml:space="preserve">Deploy &amp; Go-Live</t>
  </si>
  <si>
    <t xml:space="preserve">PMO &amp; Governance</t>
  </si>
  <si>
    <t xml:space="preserve">Infrastruttura e DevOps</t>
  </si>
  <si>
    <t xml:space="preserve">Test Accessibilità</t>
  </si>
  <si>
    <t xml:space="preserve">NA</t>
  </si>
  <si>
    <t xml:space="preserve">Test Sicurezza</t>
  </si>
  <si>
    <t xml:space="preserve">Test Performance</t>
  </si>
  <si>
    <t xml:space="preserve">TOTALE PROGETTO</t>
  </si>
  <si>
    <t xml:space="preserve">Contingency (20%)</t>
  </si>
  <si>
    <t xml:space="preserve">Totale</t>
  </si>
  <si>
    <t xml:space="preserve">Revenue</t>
  </si>
  <si>
    <t xml:space="preserve">ANALISI RFP — DATI STRATEGICI DELLA GARA</t>
  </si>
  <si>
    <t xml:space="preserve">Compilato da gara-rfp-analyzer · Dati estratti dal documento di gara originale</t>
  </si>
  <si>
    <t xml:space="preserve">Fonte / pag. bando</t>
  </si>
  <si>
    <t xml:space="preserve">SEZIONE 1 — VALORE ECONOMICO</t>
  </si>
  <si>
    <t xml:space="preserve">Importo base d'asta (€ netto IVA)</t>
  </si>
  <si>
    <t xml:space="preserve">Massimale contratto (€)</t>
  </si>
  <si>
    <t xml:space="preserve">Durata contratto (mesi)</t>
  </si>
  <si>
    <t xml:space="preserve">Opzioni di rinnovo</t>
  </si>
  <si>
    <t xml:space="preserve">Modalità prezzi</t>
  </si>
  <si>
    <t xml:space="preserve">SEZIONE 2 — CRITERI DI AGGIUDICAZIONE</t>
  </si>
  <si>
    <t xml:space="preserve">Criterio</t>
  </si>
  <si>
    <t xml:space="preserve">Punteggio max</t>
  </si>
  <si>
    <t xml:space="preserve">Peso %</t>
  </si>
  <si>
    <t xml:space="preserve">Priorità</t>
  </si>
  <si>
    <t xml:space="preserve">Sotto-criteri / Note</t>
  </si>
  <si>
    <t xml:space="preserve">RACCOMANDAZIONE STRATEGICA</t>
  </si>
  <si>
    <t xml:space="preserve">SEZIONE 3 — FORMATO RISPOSTA RICHIESTO</t>
  </si>
  <si>
    <t xml:space="preserve">Offerta tecnica richiesta</t>
  </si>
  <si>
    <t xml:space="preserve">Offerta economica richiesta</t>
  </si>
  <si>
    <t xml:space="preserve">Stima GG/U richiesta</t>
  </si>
  <si>
    <t xml:space="preserve">Piano di progetto richiesto</t>
  </si>
  <si>
    <t xml:space="preserve">CV team richiesti</t>
  </si>
  <si>
    <t xml:space="preserve">Limite pagine offerta tecnica</t>
  </si>
  <si>
    <t xml:space="preserve">Formato file richiesto</t>
  </si>
  <si>
    <t xml:space="preserve">Lingua</t>
  </si>
  <si>
    <t xml:space="preserve">Altri vincoli formali</t>
  </si>
  <si>
    <t xml:space="preserve">SEZIONE 4 — SUMMARY TECNICO-APPLICATIVO</t>
  </si>
  <si>
    <t xml:space="preserve">Scope applicativo (high level)</t>
  </si>
  <si>
    <t xml:space="preserve">Tipo progetto</t>
  </si>
  <si>
    <t xml:space="preserve">Architettura applicativa</t>
  </si>
  <si>
    <t xml:space="preserve">Stack tecnologico richiesto</t>
  </si>
  <si>
    <t xml:space="preserve">Stack tecnologico preferito</t>
  </si>
  <si>
    <t xml:space="preserve">Integrazioni principali</t>
  </si>
  <si>
    <t xml:space="preserve">Utenti target</t>
  </si>
  <si>
    <t xml:space="preserve">SEZIONE 5 — STACK AS-IS E RISCHIO EOL/LTS (solo brownfield)</t>
  </si>
  <si>
    <t xml:space="preserve">Componente</t>
  </si>
  <si>
    <t xml:space="preserve">Versione</t>
  </si>
  <si>
    <t xml:space="preserve">Stato</t>
  </si>
  <si>
    <t xml:space="preserve">Fine supporto</t>
  </si>
  <si>
    <t xml:space="preserve">Rischio</t>
  </si>
  <si>
    <t xml:space="preserve">Fonte</t>
  </si>
  <si>
    <t xml:space="preserve">Note</t>
  </si>
  <si>
    <t xml:space="preserve">Sintesi rischio stack</t>
  </si>
  <si>
    <t xml:space="preserve">MATRICE DI TRACCIABILITÀ — REQUISITI vs SOLUZIONE</t>
  </si>
  <si>
    <t xml:space="preserve">E=Estratto</t>
  </si>
  <si>
    <t xml:space="preserve">I=Inferito</t>
  </si>
  <si>
    <t xml:space="preserve">A=Assunto</t>
  </si>
  <si>
    <t xml:space="preserve">Compilare per ogni requisito estratto dal bando. Il campo 'Complessità' usa dropdown.</t>
  </si>
  <si>
    <t xml:space="preserve">ID Req.</t>
  </si>
  <si>
    <t xml:space="preserve">Area Funzionale</t>
  </si>
  <si>
    <t xml:space="preserve">Descrizione Bando</t>
  </si>
  <si>
    <t xml:space="preserve">Soluzione Proposta</t>
  </si>
  <si>
    <t xml:space="preserve">Componente Tecnica</t>
  </si>
  <si>
    <t xml:space="preserve">Complessità</t>
  </si>
  <si>
    <t xml:space="preserve">GG/U Front End</t>
  </si>
  <si>
    <t xml:space="preserve">GG/U Back End</t>
  </si>
  <si>
    <t xml:space="preserve">GG/U Data &amp; AI</t>
  </si>
  <si>
    <t xml:space="preserve">GG/U TOTALE</t>
  </si>
  <si>
    <t xml:space="preserve">Note / Assunzioni</t>
  </si>
  <si>
    <t xml:space="preserve">REQ-001</t>
  </si>
  <si>
    <t xml:space="preserve">Autenticazione &amp; IAM</t>
  </si>
  <si>
    <t xml:space="preserve">Il sistema deve supportare autenticazione SSO con provider SAML 2.0 e gestione profili utente multi-ruolo</t>
  </si>
  <si>
    <t xml:space="preserve">Integrazione con Identity Provider via SAML 2.0 / OAuth 2.0. Implementazione RBAC su API Gateway</t>
  </si>
  <si>
    <t xml:space="preserve">Keycloak / Azure AD B2C + API Gateway</t>
  </si>
  <si>
    <t xml:space="preserve">Alta</t>
  </si>
  <si>
    <t xml:space="preserve">Verificare IdP esistente del cliente</t>
  </si>
  <si>
    <t xml:space="preserve">REQ-002</t>
  </si>
  <si>
    <t xml:space="preserve">Gestione Documenti</t>
  </si>
  <si>
    <t xml:space="preserve">Archiviazione e ricerca full-text di documenti strutturati e non strutturati con retention policy</t>
  </si>
  <si>
    <t xml:space="preserve">Document Management System con indice Elasticsearch + storage S3-compatible</t>
  </si>
  <si>
    <t xml:space="preserve">ECM Module + ElasticSearch + MinIO</t>
  </si>
  <si>
    <t xml:space="preserve">Media</t>
  </si>
  <si>
    <t xml:space="preserve">Volumetria documenti da verificare — Assunzione: &lt;500k doc/anno</t>
  </si>
  <si>
    <t xml:space="preserve">REQ-003</t>
  </si>
  <si>
    <t xml:space="preserve">Cruscotto Analytics</t>
  </si>
  <si>
    <t xml:space="preserve">Dashboard real-time KPI operativi con drill-down su dati storici (ultimi 36 mesi)</t>
  </si>
  <si>
    <t xml:space="preserve">Layer BI su data warehouse. Report con filtri interattivi e export PDF/Excel</t>
  </si>
  <si>
    <t xml:space="preserve">PowerBI Embedded / Apache Superset + DWH</t>
  </si>
  <si>
    <t xml:space="preserve">Definire KPI con il cliente in fase di Discovery</t>
  </si>
  <si>
    <t xml:space="preserve">REQ-004</t>
  </si>
  <si>
    <t xml:space="preserve">Integrazione Sistemi Legacy</t>
  </si>
  <si>
    <t xml:space="preserve">Interoperabilità con sistema ERP esistente (SAP ECC 6.0) per scambio dati ordini/fatture</t>
  </si>
  <si>
    <t xml:space="preserve">Integration layer ESB con adapter SAP RFC/BAPI. Mapping dati e orchestrazione via middleware</t>
  </si>
  <si>
    <t xml:space="preserve">MuleSoft / Apache Camel + SAP Connector</t>
  </si>
  <si>
    <t xml:space="preserve">Disponibilità RFC SAP da verificare. SLA interfaccia: Assunzione da verificare</t>
  </si>
  <si>
    <t xml:space="preserve">REQ-005</t>
  </si>
  <si>
    <t xml:space="preserve">Notifiche &amp; Comunicazioni</t>
  </si>
  <si>
    <t xml:space="preserve">Sistema di notifiche multicanale (email, SMS, push) basato su eventi di business</t>
  </si>
  <si>
    <t xml:space="preserve">Event-driven notification service. Template engine per comunicazioni personalizzate</t>
  </si>
  <si>
    <t xml:space="preserve">Apache Kafka + Notification Service + SendGrid</t>
  </si>
  <si>
    <t xml:space="preserve">Bassa</t>
  </si>
  <si>
    <t xml:space="preserve">Fornitore SMS da concordare con cliente</t>
  </si>
  <si>
    <t xml:space="preserve">REQ-006</t>
  </si>
  <si>
    <t xml:space="preserve">REQ-007</t>
  </si>
  <si>
    <t xml:space="preserve">REQ-008</t>
  </si>
  <si>
    <t xml:space="preserve">REQ-009</t>
  </si>
  <si>
    <t xml:space="preserve">REQ-010</t>
  </si>
  <si>
    <t xml:space="preserve">REQ-011</t>
  </si>
  <si>
    <t xml:space="preserve">REQ-012</t>
  </si>
  <si>
    <t xml:space="preserve">REQ-013</t>
  </si>
  <si>
    <t xml:space="preserve">REQ-014</t>
  </si>
  <si>
    <t xml:space="preserve">REQ-015</t>
  </si>
  <si>
    <t xml:space="preserve">REQ-016</t>
  </si>
  <si>
    <t xml:space="preserve">TOTALE GG/U DA REQUIREMENTS</t>
  </si>
  <si>
    <t xml:space="preserve">REGISTRO ASSUNZIONI E RISCHI DI PROGETTO</t>
  </si>
  <si>
    <t xml:space="preserve">SEZIONE A — ASSUNZIONI ALLA BASE DELLA STIMA</t>
  </si>
  <si>
    <t xml:space="preserve">ID</t>
  </si>
  <si>
    <t xml:space="preserve">Categoria</t>
  </si>
  <si>
    <t xml:space="preserve">Descrizione Assunzione</t>
  </si>
  <si>
    <t xml:space="preserve">Impatto sulla Stima</t>
  </si>
  <si>
    <t xml:space="preserve">Da Verificare con</t>
  </si>
  <si>
    <t xml:space="preserve">Scadenza Verifica</t>
  </si>
  <si>
    <t xml:space="preserve">A-001</t>
  </si>
  <si>
    <t xml:space="preserve">Ambienti</t>
  </si>
  <si>
    <t xml:space="preserve">Gli ambienti cloud (Dev/Test/Prod) saranno disponibili entro la fine della fase di Design</t>
  </si>
  <si>
    <t xml:space="preserve">Alto: ritardo disponibilità ambienti causa slittamento Build di 2-3 settimane</t>
  </si>
  <si>
    <t xml:space="preserve">Da verificare</t>
  </si>
  <si>
    <t xml:space="preserve">Infrastructure Lead / Cliente</t>
  </si>
  <si>
    <t xml:space="preserve">Prima del kick-off</t>
  </si>
  <si>
    <t xml:space="preserve">Verificare contratto cloud e ownership</t>
  </si>
  <si>
    <t xml:space="preserve">A-002</t>
  </si>
  <si>
    <t xml:space="preserve">Integrazioni</t>
  </si>
  <si>
    <t xml:space="preserve">Le API dei sistemi legacy sono documentate e rispettano standard REST/SOAP. Tempo risposta &lt; 500ms</t>
  </si>
  <si>
    <t xml:space="preserve">Alto: API non documentate richiedono 5-10 GG/U aggiuntivi per reverse engineering</t>
  </si>
  <si>
    <t xml:space="preserve">Referente tecnico cliente</t>
  </si>
  <si>
    <t xml:space="preserve">Fase Discovery</t>
  </si>
  <si>
    <t xml:space="preserve">Richiedere documentazione tecnica in fase di gara</t>
  </si>
  <si>
    <t xml:space="preserve">A-003</t>
  </si>
  <si>
    <t xml:space="preserve">Dati</t>
  </si>
  <si>
    <t xml:space="preserve">La qualità dei dati da migrare è ≥ 80% (no deduplicazione massiva richiesta). Volume &lt; 1TB</t>
  </si>
  <si>
    <t xml:space="preserve">Medio: bassa qualità dati aumenta effort ETL del 30-50%</t>
  </si>
  <si>
    <t xml:space="preserve">Assunzione</t>
  </si>
  <si>
    <t xml:space="preserve">Data Owner Cliente</t>
  </si>
  <si>
    <t xml:space="preserve">Eseguire data profiling nella prima settimana</t>
  </si>
  <si>
    <t xml:space="preserve">A-004</t>
  </si>
  <si>
    <t xml:space="preserve">Risorse Cliente</t>
  </si>
  <si>
    <t xml:space="preserve">Il cliente garantisce disponibilità di 1 referente funzionale e 1 tecnico per almeno 2 gg/settimana</t>
  </si>
  <si>
    <t xml:space="preserve">Alto: mancanza presidio cliente blocca validazioni e decisioni</t>
  </si>
  <si>
    <t xml:space="preserve">PMO Cliente</t>
  </si>
  <si>
    <t xml:space="preserve">Kick-off</t>
  </si>
  <si>
    <t xml:space="preserve">Includere clausola SLA nel contratto</t>
  </si>
  <si>
    <t xml:space="preserve">A-005</t>
  </si>
  <si>
    <t xml:space="preserve">Tecnologia</t>
  </si>
  <si>
    <t xml:space="preserve">Lo stack tecnologico proposto (cloud-native, microservizi) è approvabile dal cliente senza restrizioni normative</t>
  </si>
  <si>
    <t xml:space="preserve">Medio: vincoli normativi o policy IT possono richiedere redesign architetturale</t>
  </si>
  <si>
    <t xml:space="preserve">CTO / CISO Cliente</t>
  </si>
  <si>
    <t xml:space="preserve">Fase Design</t>
  </si>
  <si>
    <t xml:space="preserve">Verificare compliance GDPR e data residency</t>
  </si>
  <si>
    <t xml:space="preserve">A-006</t>
  </si>
  <si>
    <t xml:space="preserve">Sicurezza</t>
  </si>
  <si>
    <t xml:space="preserve">Non è richiesto un assessment di sicurezza certificato (VAPT esterno) — incluso interno</t>
  </si>
  <si>
    <t xml:space="preserve">Basso: se richiesto VAPT esterno certificato, aggiungere 10-15 GG/U + costi terzi</t>
  </si>
  <si>
    <t xml:space="preserve">Security Officer</t>
  </si>
  <si>
    <t xml:space="preserve">Prima offerta</t>
  </si>
  <si>
    <t xml:space="preserve">Verificare nel capitolato tecnico</t>
  </si>
  <si>
    <t xml:space="preserve">A-007</t>
  </si>
  <si>
    <t xml:space="preserve">PMO</t>
  </si>
  <si>
    <t xml:space="preserve">Il team proposto lavorerà in modalità ibrida (on-site 2 gg/settimana, remote il resto)</t>
  </si>
  <si>
    <t xml:space="preserve">Basso</t>
  </si>
  <si>
    <t xml:space="preserve">Confermata</t>
  </si>
  <si>
    <t xml:space="preserve">Contratto</t>
  </si>
  <si>
    <t xml:space="preserve">—</t>
  </si>
  <si>
    <t xml:space="preserve">Includere piano di lavoro nel contratto</t>
  </si>
  <si>
    <t xml:space="preserve">SEZIONE B — REGISTRO DEI RISCHI</t>
  </si>
  <si>
    <t xml:space="preserve">Descrizione Rischio</t>
  </si>
  <si>
    <t xml:space="preserve">Probabilità</t>
  </si>
  <si>
    <t xml:space="preserve">Impatto</t>
  </si>
  <si>
    <t xml:space="preserve">Score (P×I)</t>
  </si>
  <si>
    <t xml:space="preserve">Strategia di Mitigazione</t>
  </si>
  <si>
    <t xml:space="preserve">Owner</t>
  </si>
  <si>
    <t xml:space="preserve">R-001</t>
  </si>
  <si>
    <t xml:space="preserve">Tecnologico</t>
  </si>
  <si>
    <t xml:space="preserve">Complessità elevata dell'integrazione con sistemi legacy non documentati causa ritardi significativi</t>
  </si>
  <si>
    <t xml:space="preserve">Alta (3)</t>
  </si>
  <si>
    <t xml:space="preserve">Alto (3)</t>
  </si>
  <si>
    <t xml:space="preserve">9 — CRITICO</t>
  </si>
  <si>
    <t xml:space="preserve">Eseguire spike tecnico nelle prime 2 settimane. Prevedere buffer del 20% sull'effort integrazione</t>
  </si>
  <si>
    <t xml:space="preserve">Tech Lead</t>
  </si>
  <si>
    <t xml:space="preserve">R-002</t>
  </si>
  <si>
    <t xml:space="preserve">Risorse</t>
  </si>
  <si>
    <t xml:space="preserve">Turnover o indisponibilità di profili chiave (Architect, Tech Lead) durante il progetto</t>
  </si>
  <si>
    <t xml:space="preserve">Media (2)</t>
  </si>
  <si>
    <t xml:space="preserve">6 — ALTO</t>
  </si>
  <si>
    <t xml:space="preserve">Knowledge sharing obbligatorio, documentazione continua, backup profile identificati</t>
  </si>
  <si>
    <t xml:space="preserve">HR / PM</t>
  </si>
  <si>
    <t xml:space="preserve">R-003</t>
  </si>
  <si>
    <t xml:space="preserve">Scope</t>
  </si>
  <si>
    <t xml:space="preserve">Richieste di change non gestite (scope creep) aumentano effort oltre il budget</t>
  </si>
  <si>
    <t xml:space="preserve">Medio (2)</t>
  </si>
  <si>
    <t xml:space="preserve">Processo formale di Change Request con impact assessment e approvazione. Backlog gestito</t>
  </si>
  <si>
    <t xml:space="preserve">PM / PMO</t>
  </si>
  <si>
    <t xml:space="preserve">R-004</t>
  </si>
  <si>
    <t xml:space="preserve">Qualità dei dati sorgente inferiore alle aspettative richiede effort massivo di data cleansing</t>
  </si>
  <si>
    <t xml:space="preserve">Data profiling nella fase Discovery. Definire criteri accettazione dati nel contratto</t>
  </si>
  <si>
    <t xml:space="preserve">Data Engineer</t>
  </si>
  <si>
    <t xml:space="preserve">R-005</t>
  </si>
  <si>
    <t xml:space="preserve">Tempi</t>
  </si>
  <si>
    <t xml:space="preserve">Dipendenze esterne (approvazioni cliente, ambienti, forniture) ritardano milestone critiche</t>
  </si>
  <si>
    <t xml:space="preserve">4 — MEDIO</t>
  </si>
  <si>
    <t xml:space="preserve">Piano di progetto con buffer espliciti. Escalation path definito e comunicato a steering</t>
  </si>
  <si>
    <t xml:space="preserve">PM</t>
  </si>
  <si>
    <t xml:space="preserve">R-006</t>
  </si>
  <si>
    <t xml:space="preserve">Vulnerabilità scoperte durante VAPT richiedono rework significativo del codice</t>
  </si>
  <si>
    <t xml:space="preserve">Bassa (1)</t>
  </si>
  <si>
    <t xml:space="preserve">3 — MEDIO</t>
  </si>
  <si>
    <t xml:space="preserve">Secure coding practices fin dalla fase Build. OWASP Top10 checklist. Code review sistematica</t>
  </si>
  <si>
    <t xml:space="preserve">Sec Engineer</t>
  </si>
  <si>
    <t xml:space="preserve">R-007</t>
  </si>
  <si>
    <t xml:space="preserve">Vendor</t>
  </si>
  <si>
    <t xml:space="preserve">Dipendenza da vendor terzi (licenze, supporto) per componenti critici della soluzione</t>
  </si>
  <si>
    <t xml:space="preserve">2 — BASSO</t>
  </si>
  <si>
    <t xml:space="preserve">Valutare alternative open source. Includere SLA vendor nei contratti di fornitura</t>
  </si>
  <si>
    <t xml:space="preserve">Architect</t>
  </si>
  <si>
    <t xml:space="preserve">QA OPEN POINTS — DOMANDE AL CLIENTE</t>
  </si>
  <si>
    <t xml:space="preserve">Domande aperte da sottoporre al cliente prima della presentazione dell'offerta · Compilare colonna "Risposta cliente" e aggiornare "Stato"</t>
  </si>
  <si>
    <t xml:space="preserve">Riferimento bando</t>
  </si>
  <si>
    <t xml:space="preserve">Domanda</t>
  </si>
  <si>
    <t xml:space="preserve">Opzioni / Scenari</t>
  </si>
  <si>
    <t xml:space="preserve">Impatto stima</t>
  </si>
  <si>
    <t xml:space="preserve">Risposta cliente</t>
  </si>
  <si>
    <t xml:space="preserve">AUDIT TRAIL — TRACCIABILITÀ DELLE DECISIONI</t>
  </si>
  <si>
    <t xml:space="preserve">Ogni decisione non ovvia è documentata qui con fonte e ragionamento  ·  🟢 Estratto dal testo  ·  🟡 Inferito con ragionamento  ·  🔴 Assunto in assenza di informazioni</t>
  </si>
  <si>
    <t xml:space="preserve">Foglio</t>
  </si>
  <si>
    <t xml:space="preserve">Campo / Cella</t>
  </si>
  <si>
    <t xml:space="preserve">Decisione presa</t>
  </si>
  <si>
    <t xml:space="preserve">Fonte nel bando</t>
  </si>
  <si>
    <t xml:space="preserve">Pag. / Sez.</t>
  </si>
  <si>
    <t xml:space="preserve">Ragionamento</t>
  </si>
  <si>
    <t xml:space="preserve">Alternativa scartata</t>
  </si>
  <si>
    <t xml:space="preserve">Verificato da</t>
  </si>
  <si>
    <t xml:space="preserve">LEGENDA CERTEZZA</t>
  </si>
  <si>
    <t xml:space="preserve">E — ESTRATTO</t>
  </si>
  <si>
    <t xml:space="preserve">Dato presente verbatim nel documento di gara. Fonte citata in "Pag. / Sez." con estratto testuale.</t>
  </si>
  <si>
    <t xml:space="preserve">I — INFERITO</t>
  </si>
  <si>
    <t xml:space="preserve">Dato non esplicito ma ricavabile con ragionamento dal contesto. Ragionamento nella colonna "Ragionamento".</t>
  </si>
  <si>
    <t xml:space="preserve">A — ASSUNTO</t>
  </si>
  <si>
    <t xml:space="preserve">Dato assente nel documento. Assunzione necessaria da verificare col cliente (QA Open Points).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</si>
</sst>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/mm/yyyy"/>
    <numFmt numFmtId="166" formatCode="#,##0"/>
    <numFmt numFmtId="167" formatCode="#,##0&quot; €&quot;"/>
    <numFmt numFmtId="168" formatCode="0.00%"/>
    <numFmt numFmtId="169" formatCode="0.0%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2"/>
      <charset val="1"/>
    </font>
    <font>
      <i val="true"/>
      <sz val="10"/>
      <color rgb="FF808080"/>
      <name val="Arial"/>
      <family val="2"/>
      <charset val="1"/>
    </font>
    <font>
      <b val="true"/>
      <sz val="11"/>
      <color rgb="FFFFFFFF"/>
      <name val="Arial"/>
      <family val="2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sz val="9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10"/>
      <color rgb="FF000000"/>
      <name val="Arial"/>
      <family val="2"/>
      <charset val="1"/>
    </font>
    <font>
      <b val="true"/>
      <sz val="10"/>
      <color rgb="FF000000"/>
      <name val="Arial"/>
      <family val="0"/>
      <charset val="1"/>
    </font>
    <font>
      <sz val="9"/>
      <color rgb="FF808080"/>
      <name val="Arial"/>
      <family val="0"/>
      <charset val="1"/>
    </font>
    <font>
      <b val="true"/>
      <sz val="10"/>
      <color rgb="FFFFFFFF"/>
      <name val="Arial"/>
      <family val="2"/>
      <charset val="1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7F6000"/>
      <name val="Arial"/>
      <family val="0"/>
      <charset val="1"/>
    </font>
    <font>
      <b val="true"/>
      <sz val="14"/>
      <color rgb="FFFFFFFF"/>
      <name val="Arial"/>
      <family val="2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i val="true"/>
      <sz val="9"/>
      <color rgb="FF808080"/>
      <name val="Arial"/>
      <family val="2"/>
      <charset val="1"/>
    </font>
    <font>
      <b val="true"/>
      <sz val="10"/>
      <color rgb="FFC00000"/>
      <name val="Arial"/>
      <family val="2"/>
      <charset val="1"/>
    </font>
    <font>
      <b val="true"/>
      <sz val="10"/>
      <color rgb="FF7F6000"/>
      <name val="Arial"/>
      <family val="2"/>
      <charset val="1"/>
    </font>
    <font>
      <b val="true"/>
      <sz val="10"/>
      <color rgb="FF375623"/>
      <name val="Arial"/>
      <family val="2"/>
      <charset val="1"/>
    </font>
    <font>
      <b val="true"/>
      <sz val="11"/>
      <color rgb="FF000000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2F2F2"/>
        <bgColor rgb="FFE2EFDA"/>
      </patternFill>
    </fill>
    <fill>
      <patternFill patternType="solid">
        <fgColor rgb="FF2E5FA3"/>
        <bgColor rgb="FF3366FF"/>
      </patternFill>
    </fill>
    <fill>
      <patternFill patternType="solid">
        <fgColor rgb="FFFFFFFF"/>
        <bgColor rgb="FFF2F2F2"/>
      </patternFill>
    </fill>
    <fill>
      <patternFill patternType="solid">
        <fgColor rgb="FFD6E4F0"/>
        <bgColor rgb="FFE2EFDA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00B050"/>
        <bgColor rgb="FF008080"/>
      </patternFill>
    </fill>
    <fill>
      <patternFill patternType="solid">
        <fgColor rgb="FFFFC000"/>
        <bgColor rgb="FFFF9900"/>
      </patternFill>
    </fill>
    <fill>
      <patternFill patternType="solid">
        <fgColor rgb="FFFF0000"/>
        <bgColor rgb="FFC00000"/>
      </patternFill>
    </fill>
    <fill>
      <patternFill patternType="solid">
        <fgColor rgb="FFE2EFDA"/>
        <bgColor rgb="FFF2F2F2"/>
      </patternFill>
    </fill>
    <fill>
      <patternFill patternType="solid">
        <fgColor rgb="FFC00000"/>
        <bgColor rgb="FFFF0000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/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/>
      <bottom/>
      <diagonal/>
    </border>
    <border diagonalUp="false" diagonalDown="false">
      <left style="thin">
        <color rgb="FFD0D0D0"/>
      </left>
      <right/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3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3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1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5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9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9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5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5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7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3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6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3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7" borderId="6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6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8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1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7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1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9" borderId="6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6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0" borderId="6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1" borderId="6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375623"/>
          <bgColor rgb="FF000000"/>
        </patternFill>
      </fill>
    </dxf>
    <dxf>
      <fill>
        <patternFill patternType="solid">
          <fgColor rgb="FF7F6000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D6E4F0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7F6000"/>
      <rgbColor rgb="FF800080"/>
      <rgbColor rgb="FF008080"/>
      <rgbColor rgb="FFBFBFBF"/>
      <rgbColor rgb="FF808080"/>
      <rgbColor rgb="FF9999FF"/>
      <rgbColor rgb="FF993366"/>
      <rgbColor rgb="FFFFF2CC"/>
      <rgbColor rgb="FFD6E4F0"/>
      <rgbColor rgb="FF660066"/>
      <rgbColor rgb="FFFF8080"/>
      <rgbColor rgb="FF2E5FA3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1F3864"/>
      <rgbColor rgb="FF00B050"/>
      <rgbColor rgb="FF003300"/>
      <rgbColor rgb="FF333300"/>
      <rgbColor rgb="FF993300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11" activePane="bottomLeft" state="frozen"/>
      <selection pane="topLeft" activeCell="A1" activeCellId="0" sqref="A1"/>
      <selection pane="bottomLeft" activeCell="B21" activeCellId="0" sqref="B21"/>
    </sheetView>
  </sheetViews>
  <sheetFormatPr defaultColWidth="8.6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4"/>
    <col collapsed="false" customWidth="true" hidden="false" outlineLevel="0" max="4" min="3" style="1" width="18"/>
    <col collapsed="false" customWidth="true" hidden="false" outlineLevel="0" max="5" min="5" style="1" width="22.33"/>
    <col collapsed="false" customWidth="true" hidden="false" outlineLevel="0" max="6" min="6" style="1" width="22"/>
    <col collapsed="false" customWidth="true" hidden="false" outlineLevel="0" max="7" min="7" style="1" width="18"/>
    <col collapsed="false" customWidth="true" hidden="false" outlineLevel="0" max="8" min="8" style="1" width="16"/>
    <col collapsed="false" customWidth="true" hidden="false" outlineLevel="0" max="9" min="9" style="1" width="24"/>
    <col collapsed="false" customWidth="true" hidden="false" outlineLevel="0" max="10" min="10" style="1" width="12"/>
  </cols>
  <sheetData>
    <row r="1" customFormat="false" ht="36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8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4" customFormat="false" ht="15" hidden="false" customHeight="true" outlineLevel="0" collapsed="false">
      <c r="A4" s="4" t="s">
        <v>2</v>
      </c>
      <c r="B4" s="4"/>
      <c r="C4" s="4"/>
      <c r="D4" s="4"/>
      <c r="E4" s="4"/>
      <c r="F4" s="4"/>
      <c r="G4" s="4"/>
      <c r="H4" s="4"/>
      <c r="I4" s="5" t="s">
        <v>3</v>
      </c>
      <c r="J4" s="5" t="s">
        <v>4</v>
      </c>
    </row>
    <row r="5" customFormat="false" ht="15" hidden="false" customHeight="true" outlineLevel="0" collapsed="false">
      <c r="A5" s="6" t="s">
        <v>5</v>
      </c>
      <c r="B5" s="7"/>
      <c r="C5" s="7"/>
      <c r="D5" s="7"/>
      <c r="E5" s="6" t="s">
        <v>6</v>
      </c>
      <c r="F5" s="7"/>
      <c r="G5" s="7"/>
      <c r="H5" s="7"/>
      <c r="I5" s="8"/>
      <c r="J5" s="9"/>
    </row>
    <row r="6" customFormat="false" ht="15" hidden="false" customHeight="true" outlineLevel="0" collapsed="false">
      <c r="A6" s="6" t="s">
        <v>7</v>
      </c>
      <c r="B6" s="7"/>
      <c r="C6" s="7"/>
      <c r="D6" s="7"/>
      <c r="E6" s="6" t="s">
        <v>8</v>
      </c>
      <c r="F6" s="7"/>
      <c r="G6" s="7"/>
      <c r="H6" s="7"/>
      <c r="I6" s="10"/>
      <c r="J6" s="9"/>
    </row>
    <row r="7" customFormat="false" ht="15" hidden="false" customHeight="true" outlineLevel="0" collapsed="false">
      <c r="A7" s="6" t="s">
        <v>9</v>
      </c>
      <c r="B7" s="7"/>
      <c r="C7" s="7"/>
      <c r="D7" s="7"/>
      <c r="E7" s="6" t="s">
        <v>10</v>
      </c>
      <c r="F7" s="7"/>
      <c r="G7" s="7"/>
      <c r="H7" s="7"/>
      <c r="I7" s="8"/>
      <c r="J7" s="9"/>
    </row>
    <row r="8" customFormat="false" ht="15" hidden="false" customHeight="true" outlineLevel="0" collapsed="false">
      <c r="A8" s="6" t="s">
        <v>11</v>
      </c>
      <c r="B8" s="7"/>
      <c r="C8" s="7"/>
      <c r="D8" s="7"/>
      <c r="E8" s="6" t="s">
        <v>12</v>
      </c>
      <c r="F8" s="7"/>
      <c r="G8" s="7"/>
      <c r="H8" s="7"/>
      <c r="I8" s="10"/>
      <c r="J8" s="9"/>
    </row>
    <row r="9" customFormat="false" ht="15" hidden="false" customHeight="true" outlineLevel="0" collapsed="false">
      <c r="A9" s="6" t="s">
        <v>13</v>
      </c>
      <c r="B9" s="7" t="s">
        <v>14</v>
      </c>
      <c r="C9" s="7"/>
      <c r="D9" s="7"/>
      <c r="E9" s="6" t="s">
        <v>15</v>
      </c>
      <c r="F9" s="7"/>
      <c r="G9" s="7"/>
      <c r="H9" s="7"/>
      <c r="I9" s="8"/>
      <c r="J9" s="9"/>
    </row>
    <row r="10" customFormat="false" ht="15" hidden="false" customHeight="true" outlineLevel="0" collapsed="false">
      <c r="A10" s="6" t="s">
        <v>16</v>
      </c>
      <c r="B10" s="11" t="s">
        <v>17</v>
      </c>
      <c r="C10" s="11"/>
      <c r="D10" s="11"/>
      <c r="E10" s="6" t="s">
        <v>18</v>
      </c>
      <c r="F10" s="7"/>
      <c r="G10" s="7"/>
      <c r="H10" s="7"/>
      <c r="I10" s="10"/>
      <c r="J10" s="9"/>
    </row>
    <row r="11" customFormat="false" ht="21.75" hidden="false" customHeight="true" outlineLevel="0" collapsed="false">
      <c r="A11" s="12" t="s">
        <v>19</v>
      </c>
      <c r="B11" s="13"/>
      <c r="C11" s="13"/>
      <c r="D11" s="13"/>
      <c r="E11" s="14" t="s">
        <v>20</v>
      </c>
      <c r="F11" s="14"/>
      <c r="G11" s="14"/>
      <c r="H11" s="14"/>
      <c r="I11" s="8"/>
      <c r="J11" s="9"/>
    </row>
    <row r="12" customFormat="false" ht="21.75" hidden="false" customHeight="true" outlineLevel="0" collapsed="false">
      <c r="A12" s="15" t="s">
        <v>21</v>
      </c>
      <c r="B12" s="13"/>
      <c r="C12" s="13"/>
      <c r="D12" s="13"/>
      <c r="E12" s="14" t="s">
        <v>22</v>
      </c>
      <c r="F12" s="14"/>
      <c r="G12" s="14"/>
      <c r="H12" s="14"/>
      <c r="I12" s="8"/>
      <c r="J12" s="9"/>
    </row>
    <row r="13" customFormat="false" ht="15" hidden="false" customHeight="true" outlineLevel="0" collapsed="false">
      <c r="A13" s="16"/>
      <c r="B13" s="16"/>
      <c r="C13" s="16"/>
      <c r="D13" s="16"/>
      <c r="E13" s="16"/>
      <c r="F13" s="16"/>
      <c r="G13" s="16"/>
      <c r="H13" s="16"/>
      <c r="J13" s="9"/>
    </row>
    <row r="14" customFormat="false" ht="15" hidden="false" customHeight="true" outlineLevel="0" collapsed="false">
      <c r="J14" s="9"/>
    </row>
    <row r="15" customFormat="false" ht="15" hidden="false" customHeight="true" outlineLevel="0" collapsed="false">
      <c r="A15" s="4" t="s">
        <v>23</v>
      </c>
      <c r="B15" s="17"/>
      <c r="C15" s="17"/>
      <c r="D15" s="17"/>
      <c r="E15" s="17"/>
      <c r="F15" s="17"/>
      <c r="G15" s="17"/>
      <c r="H15" s="17"/>
      <c r="I15" s="8"/>
      <c r="J15" s="9"/>
    </row>
    <row r="16" customFormat="false" ht="15" hidden="false" customHeight="true" outlineLevel="0" collapsed="false">
      <c r="A16" s="18" t="s">
        <v>24</v>
      </c>
      <c r="B16" s="18" t="s">
        <v>25</v>
      </c>
      <c r="C16" s="18" t="s">
        <v>26</v>
      </c>
      <c r="D16" s="18" t="s">
        <v>27</v>
      </c>
      <c r="E16" s="18" t="s">
        <v>28</v>
      </c>
      <c r="I16" s="10"/>
      <c r="J16" s="9"/>
    </row>
    <row r="17" customFormat="false" ht="15" hidden="false" customHeight="true" outlineLevel="0" collapsed="false">
      <c r="A17" s="19" t="s">
        <v>29</v>
      </c>
      <c r="B17" s="20" t="n">
        <f aca="false">B18*25%</f>
        <v>12.5</v>
      </c>
      <c r="C17" s="21" t="n">
        <v>400</v>
      </c>
      <c r="D17" s="21" t="n">
        <f aca="false">B17*C17</f>
        <v>5000</v>
      </c>
      <c r="E17" s="22" t="n">
        <f aca="false">IFERROR(D17/SUM($D$17:$D$25),0)</f>
        <v>0.0434971726837756</v>
      </c>
      <c r="I17" s="8"/>
      <c r="J17" s="9"/>
    </row>
    <row r="18" customFormat="false" ht="15" hidden="false" customHeight="true" outlineLevel="0" collapsed="false">
      <c r="A18" s="23" t="s">
        <v>30</v>
      </c>
      <c r="B18" s="24" t="n">
        <f aca="false">'Requirements &amp; Solution Mapping'!J21</f>
        <v>50</v>
      </c>
      <c r="C18" s="25" t="n">
        <v>300</v>
      </c>
      <c r="D18" s="25" t="n">
        <f aca="false">B18*C18</f>
        <v>15000</v>
      </c>
      <c r="E18" s="22" t="n">
        <f aca="false">IFERROR(D18/SUM($D$17:$D$25),0)</f>
        <v>0.130491518051327</v>
      </c>
      <c r="I18" s="10"/>
      <c r="J18" s="9"/>
    </row>
    <row r="19" customFormat="false" ht="15" hidden="false" customHeight="true" outlineLevel="0" collapsed="false">
      <c r="A19" s="19" t="s">
        <v>31</v>
      </c>
      <c r="B19" s="20" t="n">
        <f aca="false">B18*25%</f>
        <v>12.5</v>
      </c>
      <c r="C19" s="21" t="n">
        <v>400</v>
      </c>
      <c r="D19" s="21" t="n">
        <f aca="false">B19*C19</f>
        <v>5000</v>
      </c>
      <c r="E19" s="22" t="n">
        <f aca="false">IFERROR(D19/SUM($D$17:$D$25),0)</f>
        <v>0.0434971726837756</v>
      </c>
      <c r="I19" s="8"/>
      <c r="J19" s="9"/>
    </row>
    <row r="20" customFormat="false" ht="15" hidden="false" customHeight="true" outlineLevel="0" collapsed="false">
      <c r="A20" s="23" t="s">
        <v>32</v>
      </c>
      <c r="B20" s="24" t="n">
        <f aca="false">B18*3%</f>
        <v>1.5</v>
      </c>
      <c r="C20" s="25" t="n">
        <v>300</v>
      </c>
      <c r="D20" s="25" t="n">
        <f aca="false">B20*C20</f>
        <v>450</v>
      </c>
      <c r="E20" s="22" t="n">
        <f aca="false">IFERROR(D20/SUM($D$17:$D$25),0)</f>
        <v>0.0039147455415398</v>
      </c>
      <c r="I20" s="10"/>
      <c r="J20" s="9"/>
    </row>
    <row r="21" customFormat="false" ht="15" hidden="false" customHeight="true" outlineLevel="0" collapsed="false">
      <c r="A21" s="19" t="s">
        <v>33</v>
      </c>
      <c r="B21" s="20" t="n">
        <f aca="false">B18*10%</f>
        <v>5</v>
      </c>
      <c r="C21" s="21" t="n">
        <v>500</v>
      </c>
      <c r="D21" s="21" t="n">
        <f aca="false">B21*C21</f>
        <v>2500</v>
      </c>
      <c r="E21" s="22" t="n">
        <f aca="false">IFERROR(D21/SUM($D$17:$D$25),0)</f>
        <v>0.0217485863418878</v>
      </c>
      <c r="I21" s="8"/>
      <c r="J21" s="9"/>
    </row>
    <row r="22" customFormat="false" ht="15" hidden="false" customHeight="true" outlineLevel="0" collapsed="false">
      <c r="A22" s="19" t="s">
        <v>34</v>
      </c>
      <c r="B22" s="20" t="n">
        <f aca="false">B18*60%</f>
        <v>30</v>
      </c>
      <c r="C22" s="21" t="n">
        <v>400</v>
      </c>
      <c r="D22" s="21" t="n">
        <f aca="false">B22*C22</f>
        <v>12000</v>
      </c>
      <c r="E22" s="22" t="n">
        <f aca="false">IFERROR(D22/SUM($D$17:$D$25),0)</f>
        <v>0.104393214441061</v>
      </c>
      <c r="I22" s="10"/>
      <c r="J22" s="9"/>
    </row>
    <row r="23" customFormat="false" ht="15" hidden="false" customHeight="true" outlineLevel="0" collapsed="false">
      <c r="A23" s="23" t="s">
        <v>35</v>
      </c>
      <c r="B23" s="24" t="s">
        <v>36</v>
      </c>
      <c r="C23" s="25" t="s">
        <v>36</v>
      </c>
      <c r="D23" s="25" t="n">
        <v>10000</v>
      </c>
      <c r="E23" s="22" t="n">
        <f aca="false">IFERROR(D23/SUM($D$17:$D$25),0)</f>
        <v>0.0869943453675511</v>
      </c>
      <c r="I23" s="8"/>
      <c r="J23" s="9"/>
    </row>
    <row r="24" customFormat="false" ht="15" hidden="false" customHeight="true" outlineLevel="0" collapsed="false">
      <c r="A24" s="19" t="s">
        <v>37</v>
      </c>
      <c r="B24" s="24" t="s">
        <v>36</v>
      </c>
      <c r="C24" s="25" t="s">
        <v>36</v>
      </c>
      <c r="D24" s="25" t="n">
        <v>40000</v>
      </c>
      <c r="E24" s="22" t="n">
        <f aca="false">IFERROR(D24/SUM($D$17:$D$25),0)</f>
        <v>0.347977381470204</v>
      </c>
      <c r="I24" s="10"/>
      <c r="J24" s="9"/>
    </row>
    <row r="25" customFormat="false" ht="15" hidden="false" customHeight="true" outlineLevel="0" collapsed="false">
      <c r="A25" s="19" t="s">
        <v>38</v>
      </c>
      <c r="B25" s="24" t="s">
        <v>36</v>
      </c>
      <c r="C25" s="25" t="s">
        <v>36</v>
      </c>
      <c r="D25" s="25" t="n">
        <v>25000</v>
      </c>
      <c r="E25" s="22" t="n">
        <f aca="false">IFERROR(D25/SUM($D$17:$D$25),0)</f>
        <v>0.217485863418878</v>
      </c>
      <c r="I25" s="8"/>
      <c r="J25" s="9"/>
    </row>
    <row r="26" customFormat="false" ht="15" hidden="false" customHeight="true" outlineLevel="0" collapsed="false">
      <c r="A26" s="18" t="s">
        <v>39</v>
      </c>
      <c r="B26" s="26" t="n">
        <f aca="false">SUM(B17:B25)</f>
        <v>111.5</v>
      </c>
      <c r="C26" s="27" t="n">
        <f aca="false">IFERROR(D26/B26,0)</f>
        <v>1030.94170403587</v>
      </c>
      <c r="D26" s="27" t="n">
        <f aca="false">SUM(D17:D25)</f>
        <v>114950</v>
      </c>
      <c r="E26" s="28" t="n">
        <f aca="false">SUM(E17:E25)</f>
        <v>1</v>
      </c>
      <c r="I26" s="10"/>
      <c r="J26" s="9"/>
    </row>
    <row r="27" customFormat="false" ht="15" hidden="false" customHeight="true" outlineLevel="0" collapsed="false">
      <c r="C27" s="29" t="s">
        <v>40</v>
      </c>
      <c r="D27" s="30" t="n">
        <f aca="false">D26*20%</f>
        <v>22990</v>
      </c>
      <c r="J27" s="9"/>
    </row>
    <row r="28" customFormat="false" ht="15" hidden="false" customHeight="true" outlineLevel="0" collapsed="false">
      <c r="C28" s="29" t="s">
        <v>41</v>
      </c>
      <c r="D28" s="30" t="n">
        <f aca="false">SUM(D26:D27)</f>
        <v>137940</v>
      </c>
      <c r="J28" s="9"/>
    </row>
    <row r="29" customFormat="false" ht="15" hidden="false" customHeight="true" outlineLevel="0" collapsed="false">
      <c r="C29" s="29" t="s">
        <v>42</v>
      </c>
      <c r="D29" s="30" t="n">
        <f aca="false">D28*2</f>
        <v>275880</v>
      </c>
      <c r="J29" s="9"/>
    </row>
  </sheetData>
  <mergeCells count="20">
    <mergeCell ref="A1:H1"/>
    <mergeCell ref="A2:H2"/>
    <mergeCell ref="A4:H4"/>
    <mergeCell ref="B5:D5"/>
    <mergeCell ref="F5:H5"/>
    <mergeCell ref="B6:D6"/>
    <mergeCell ref="F6:H6"/>
    <mergeCell ref="B7:D7"/>
    <mergeCell ref="F7:H7"/>
    <mergeCell ref="B8:D8"/>
    <mergeCell ref="F8:H8"/>
    <mergeCell ref="B9:D9"/>
    <mergeCell ref="F9:H9"/>
    <mergeCell ref="B10:D10"/>
    <mergeCell ref="F10:H10"/>
    <mergeCell ref="B11:D11"/>
    <mergeCell ref="E11:H11"/>
    <mergeCell ref="B12:D12"/>
    <mergeCell ref="E12:H12"/>
    <mergeCell ref="A13:H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20"/>
    <col collapsed="false" customWidth="true" hidden="false" outlineLevel="0" max="3" min="3" style="1" width="12"/>
    <col collapsed="false" customWidth="true" hidden="false" outlineLevel="0" max="6" min="4" style="1" width="14"/>
    <col collapsed="false" customWidth="true" hidden="false" outlineLevel="0" max="8" min="7" style="1" width="18"/>
    <col collapsed="false" customWidth="true" hidden="false" outlineLevel="0" max="9" min="9" style="1" width="28"/>
    <col collapsed="false" customWidth="true" hidden="false" outlineLevel="0" max="10" min="10" style="1" width="12"/>
  </cols>
  <sheetData>
    <row r="1" customFormat="false" ht="25.5" hidden="false" customHeight="true" outlineLevel="0" collapsed="false">
      <c r="A1" s="31" t="s">
        <v>43</v>
      </c>
      <c r="B1" s="31"/>
      <c r="C1" s="31"/>
      <c r="D1" s="31"/>
      <c r="E1" s="31"/>
      <c r="F1" s="31"/>
      <c r="G1" s="31"/>
      <c r="H1" s="31"/>
    </row>
    <row r="2" customFormat="false" ht="15.75" hidden="false" customHeight="true" outlineLevel="0" collapsed="false">
      <c r="A2" s="32" t="s">
        <v>44</v>
      </c>
      <c r="B2" s="32"/>
      <c r="C2" s="32"/>
      <c r="D2" s="32"/>
      <c r="E2" s="32"/>
      <c r="F2" s="32"/>
      <c r="G2" s="32"/>
      <c r="H2" s="32"/>
      <c r="I2" s="33" t="s">
        <v>45</v>
      </c>
    </row>
    <row r="4" customFormat="false" ht="19.5" hidden="false" customHeight="true" outlineLevel="0" collapsed="false">
      <c r="A4" s="34" t="s">
        <v>46</v>
      </c>
      <c r="B4" s="34"/>
      <c r="C4" s="34"/>
      <c r="D4" s="34"/>
      <c r="E4" s="34"/>
      <c r="F4" s="34"/>
      <c r="G4" s="34"/>
      <c r="H4" s="34"/>
      <c r="I4" s="35"/>
      <c r="J4" s="9"/>
    </row>
    <row r="5" customFormat="false" ht="18" hidden="false" customHeight="true" outlineLevel="0" collapsed="false">
      <c r="A5" s="36" t="s">
        <v>47</v>
      </c>
      <c r="B5" s="37"/>
      <c r="C5" s="37"/>
      <c r="D5" s="37"/>
      <c r="E5" s="37"/>
      <c r="F5" s="37"/>
      <c r="G5" s="37"/>
      <c r="H5" s="37"/>
      <c r="I5" s="35"/>
      <c r="J5" s="9"/>
    </row>
    <row r="6" customFormat="false" ht="18" hidden="false" customHeight="true" outlineLevel="0" collapsed="false">
      <c r="A6" s="38" t="s">
        <v>48</v>
      </c>
      <c r="B6" s="37"/>
      <c r="C6" s="37"/>
      <c r="D6" s="37"/>
      <c r="E6" s="37"/>
      <c r="F6" s="37"/>
      <c r="G6" s="37"/>
      <c r="H6" s="37"/>
      <c r="I6" s="35"/>
      <c r="J6" s="9"/>
    </row>
    <row r="7" customFormat="false" ht="18" hidden="false" customHeight="true" outlineLevel="0" collapsed="false">
      <c r="A7" s="36" t="s">
        <v>49</v>
      </c>
      <c r="B7" s="37"/>
      <c r="C7" s="37"/>
      <c r="D7" s="37"/>
      <c r="E7" s="37"/>
      <c r="F7" s="37"/>
      <c r="G7" s="37"/>
      <c r="H7" s="37"/>
      <c r="I7" s="35"/>
      <c r="J7" s="9"/>
    </row>
    <row r="8" customFormat="false" ht="18" hidden="false" customHeight="true" outlineLevel="0" collapsed="false">
      <c r="A8" s="38" t="s">
        <v>50</v>
      </c>
      <c r="B8" s="37"/>
      <c r="C8" s="37"/>
      <c r="D8" s="37"/>
      <c r="E8" s="37"/>
      <c r="F8" s="37"/>
      <c r="G8" s="37"/>
      <c r="H8" s="37"/>
      <c r="I8" s="35"/>
      <c r="J8" s="9"/>
    </row>
    <row r="9" customFormat="false" ht="18" hidden="false" customHeight="true" outlineLevel="0" collapsed="false">
      <c r="A9" s="36" t="s">
        <v>51</v>
      </c>
      <c r="B9" s="37"/>
      <c r="C9" s="37"/>
      <c r="D9" s="37"/>
      <c r="E9" s="37"/>
      <c r="F9" s="37"/>
      <c r="G9" s="37"/>
      <c r="H9" s="37"/>
      <c r="I9" s="35"/>
      <c r="J9" s="9"/>
    </row>
    <row r="10" customFormat="false" ht="15" hidden="false" customHeight="true" outlineLevel="0" collapsed="false">
      <c r="J10" s="9"/>
    </row>
    <row r="11" customFormat="false" ht="19.5" hidden="false" customHeight="true" outlineLevel="0" collapsed="false">
      <c r="A11" s="34" t="s">
        <v>52</v>
      </c>
      <c r="B11" s="34"/>
      <c r="C11" s="34"/>
      <c r="D11" s="34"/>
      <c r="E11" s="34"/>
      <c r="F11" s="34"/>
      <c r="G11" s="34"/>
      <c r="H11" s="34"/>
      <c r="I11" s="35"/>
      <c r="J11" s="9"/>
    </row>
    <row r="12" customFormat="false" ht="18" hidden="false" customHeight="true" outlineLevel="0" collapsed="false">
      <c r="A12" s="5" t="s">
        <v>53</v>
      </c>
      <c r="B12" s="5" t="s">
        <v>54</v>
      </c>
      <c r="C12" s="5" t="s">
        <v>55</v>
      </c>
      <c r="D12" s="5" t="s">
        <v>56</v>
      </c>
      <c r="E12" s="5" t="s">
        <v>57</v>
      </c>
      <c r="I12" s="35"/>
      <c r="J12" s="9"/>
    </row>
    <row r="13" customFormat="false" ht="18" hidden="false" customHeight="true" outlineLevel="0" collapsed="false">
      <c r="A13" s="39"/>
      <c r="B13" s="39"/>
      <c r="C13" s="39"/>
      <c r="D13" s="39"/>
      <c r="E13" s="39"/>
      <c r="F13" s="39"/>
      <c r="G13" s="39"/>
      <c r="H13" s="39"/>
      <c r="J13" s="9"/>
    </row>
    <row r="14" customFormat="false" ht="18" hidden="false" customHeight="true" outlineLevel="0" collapsed="false">
      <c r="A14" s="40"/>
      <c r="B14" s="40"/>
      <c r="C14" s="40"/>
      <c r="D14" s="40"/>
      <c r="E14" s="40"/>
      <c r="F14" s="40"/>
      <c r="G14" s="40"/>
      <c r="H14" s="40"/>
      <c r="J14" s="9"/>
    </row>
    <row r="15" customFormat="false" ht="18" hidden="false" customHeight="true" outlineLevel="0" collapsed="false">
      <c r="A15" s="39"/>
      <c r="B15" s="39"/>
      <c r="C15" s="39"/>
      <c r="D15" s="39"/>
      <c r="E15" s="39"/>
      <c r="F15" s="39"/>
      <c r="G15" s="39"/>
      <c r="H15" s="39"/>
      <c r="J15" s="9"/>
    </row>
    <row r="16" customFormat="false" ht="18" hidden="false" customHeight="true" outlineLevel="0" collapsed="false">
      <c r="A16" s="40"/>
      <c r="B16" s="40"/>
      <c r="C16" s="40"/>
      <c r="D16" s="40"/>
      <c r="E16" s="40"/>
      <c r="F16" s="40"/>
      <c r="G16" s="40"/>
      <c r="H16" s="40"/>
      <c r="J16" s="9"/>
    </row>
    <row r="17" customFormat="false" ht="18" hidden="false" customHeight="true" outlineLevel="0" collapsed="false">
      <c r="A17" s="39"/>
      <c r="B17" s="39"/>
      <c r="C17" s="39"/>
      <c r="D17" s="39"/>
      <c r="E17" s="39"/>
      <c r="F17" s="39"/>
      <c r="G17" s="39"/>
      <c r="H17" s="39"/>
      <c r="J17" s="9"/>
    </row>
    <row r="18" customFormat="false" ht="18" hidden="false" customHeight="true" outlineLevel="0" collapsed="false">
      <c r="A18" s="40"/>
      <c r="B18" s="40"/>
      <c r="C18" s="40"/>
      <c r="D18" s="40"/>
      <c r="E18" s="40"/>
      <c r="F18" s="40"/>
      <c r="G18" s="40"/>
      <c r="H18" s="40"/>
      <c r="J18" s="9"/>
    </row>
    <row r="19" customFormat="false" ht="15" hidden="false" customHeight="true" outlineLevel="0" collapsed="false">
      <c r="J19" s="9"/>
    </row>
    <row r="20" customFormat="false" ht="18" hidden="false" customHeight="true" outlineLevel="0" collapsed="false">
      <c r="A20" s="41" t="s">
        <v>58</v>
      </c>
      <c r="B20" s="41"/>
      <c r="C20" s="41"/>
      <c r="D20" s="41"/>
      <c r="E20" s="41"/>
      <c r="F20" s="41"/>
      <c r="G20" s="41"/>
      <c r="H20" s="41"/>
      <c r="I20" s="35"/>
      <c r="J20" s="9"/>
    </row>
    <row r="21" customFormat="false" ht="36" hidden="false" customHeight="true" outlineLevel="0" collapsed="false">
      <c r="A21" s="42"/>
      <c r="B21" s="42"/>
      <c r="C21" s="42"/>
      <c r="D21" s="42"/>
      <c r="E21" s="42"/>
      <c r="F21" s="42"/>
      <c r="G21" s="42"/>
      <c r="H21" s="42"/>
      <c r="J21" s="9"/>
    </row>
    <row r="22" customFormat="false" ht="15" hidden="false" customHeight="true" outlineLevel="0" collapsed="false">
      <c r="J22" s="9"/>
    </row>
    <row r="23" customFormat="false" ht="19.5" hidden="false" customHeight="true" outlineLevel="0" collapsed="false">
      <c r="A23" s="34" t="s">
        <v>59</v>
      </c>
      <c r="B23" s="34"/>
      <c r="C23" s="34"/>
      <c r="D23" s="34"/>
      <c r="E23" s="34"/>
      <c r="F23" s="34"/>
      <c r="G23" s="34"/>
      <c r="H23" s="34"/>
      <c r="I23" s="35"/>
      <c r="J23" s="9"/>
    </row>
    <row r="24" customFormat="false" ht="18" hidden="false" customHeight="true" outlineLevel="0" collapsed="false">
      <c r="A24" s="36" t="s">
        <v>60</v>
      </c>
      <c r="B24" s="37"/>
      <c r="C24" s="37"/>
      <c r="D24" s="37"/>
      <c r="E24" s="37"/>
      <c r="F24" s="37"/>
      <c r="G24" s="37"/>
      <c r="H24" s="37"/>
      <c r="I24" s="35"/>
      <c r="J24" s="9"/>
    </row>
    <row r="25" customFormat="false" ht="18" hidden="false" customHeight="true" outlineLevel="0" collapsed="false">
      <c r="A25" s="38" t="s">
        <v>61</v>
      </c>
      <c r="B25" s="37"/>
      <c r="C25" s="37"/>
      <c r="D25" s="37"/>
      <c r="E25" s="37"/>
      <c r="F25" s="37"/>
      <c r="G25" s="37"/>
      <c r="H25" s="37"/>
      <c r="I25" s="35"/>
      <c r="J25" s="9"/>
    </row>
    <row r="26" customFormat="false" ht="18" hidden="false" customHeight="true" outlineLevel="0" collapsed="false">
      <c r="A26" s="36" t="s">
        <v>62</v>
      </c>
      <c r="B26" s="37"/>
      <c r="C26" s="37"/>
      <c r="D26" s="37"/>
      <c r="E26" s="37"/>
      <c r="F26" s="37"/>
      <c r="G26" s="37"/>
      <c r="H26" s="37"/>
      <c r="I26" s="35"/>
      <c r="J26" s="9"/>
    </row>
    <row r="27" customFormat="false" ht="18" hidden="false" customHeight="true" outlineLevel="0" collapsed="false">
      <c r="A27" s="38" t="s">
        <v>63</v>
      </c>
      <c r="B27" s="37"/>
      <c r="C27" s="37"/>
      <c r="D27" s="37"/>
      <c r="E27" s="37"/>
      <c r="F27" s="37"/>
      <c r="G27" s="37"/>
      <c r="H27" s="37"/>
      <c r="I27" s="35"/>
      <c r="J27" s="9"/>
    </row>
    <row r="28" customFormat="false" ht="18" hidden="false" customHeight="true" outlineLevel="0" collapsed="false">
      <c r="A28" s="36" t="s">
        <v>64</v>
      </c>
      <c r="B28" s="37"/>
      <c r="C28" s="37"/>
      <c r="D28" s="37"/>
      <c r="E28" s="37"/>
      <c r="F28" s="37"/>
      <c r="G28" s="37"/>
      <c r="H28" s="37"/>
      <c r="I28" s="35"/>
      <c r="J28" s="9"/>
    </row>
    <row r="29" customFormat="false" ht="18" hidden="false" customHeight="true" outlineLevel="0" collapsed="false">
      <c r="A29" s="38" t="s">
        <v>51</v>
      </c>
      <c r="B29" s="37"/>
      <c r="C29" s="37"/>
      <c r="D29" s="37"/>
      <c r="E29" s="37"/>
      <c r="F29" s="37"/>
      <c r="G29" s="37"/>
      <c r="H29" s="37"/>
      <c r="I29" s="35"/>
      <c r="J29" s="9"/>
    </row>
    <row r="30" customFormat="false" ht="18" hidden="false" customHeight="true" outlineLevel="0" collapsed="false">
      <c r="A30" s="36" t="s">
        <v>65</v>
      </c>
      <c r="B30" s="37"/>
      <c r="C30" s="37"/>
      <c r="D30" s="37"/>
      <c r="E30" s="37"/>
      <c r="F30" s="37"/>
      <c r="G30" s="37"/>
      <c r="H30" s="37"/>
      <c r="I30" s="35"/>
      <c r="J30" s="9"/>
    </row>
    <row r="31" customFormat="false" ht="18" hidden="false" customHeight="true" outlineLevel="0" collapsed="false">
      <c r="A31" s="38" t="s">
        <v>66</v>
      </c>
      <c r="B31" s="37"/>
      <c r="C31" s="37"/>
      <c r="D31" s="37"/>
      <c r="E31" s="37"/>
      <c r="F31" s="37"/>
      <c r="G31" s="37"/>
      <c r="H31" s="37"/>
      <c r="I31" s="35"/>
      <c r="J31" s="9"/>
    </row>
    <row r="32" customFormat="false" ht="18" hidden="false" customHeight="true" outlineLevel="0" collapsed="false">
      <c r="A32" s="36" t="s">
        <v>67</v>
      </c>
      <c r="B32" s="37"/>
      <c r="C32" s="37"/>
      <c r="D32" s="37"/>
      <c r="E32" s="37"/>
      <c r="F32" s="37"/>
      <c r="G32" s="37"/>
      <c r="H32" s="37"/>
      <c r="I32" s="35"/>
      <c r="J32" s="9"/>
    </row>
    <row r="33" customFormat="false" ht="18" hidden="false" customHeight="true" outlineLevel="0" collapsed="false">
      <c r="A33" s="38" t="s">
        <v>68</v>
      </c>
      <c r="B33" s="37"/>
      <c r="C33" s="37"/>
      <c r="D33" s="37"/>
      <c r="E33" s="37"/>
      <c r="F33" s="37"/>
      <c r="G33" s="37"/>
      <c r="H33" s="37"/>
      <c r="I33" s="35"/>
      <c r="J33" s="9"/>
    </row>
    <row r="34" customFormat="false" ht="15" hidden="false" customHeight="true" outlineLevel="0" collapsed="false">
      <c r="J34" s="9"/>
    </row>
    <row r="35" customFormat="false" ht="19.5" hidden="false" customHeight="true" outlineLevel="0" collapsed="false">
      <c r="A35" s="34" t="s">
        <v>69</v>
      </c>
      <c r="B35" s="34"/>
      <c r="C35" s="34"/>
      <c r="D35" s="34"/>
      <c r="E35" s="34"/>
      <c r="F35" s="34"/>
      <c r="G35" s="34"/>
      <c r="H35" s="34"/>
      <c r="I35" s="35"/>
      <c r="J35" s="9"/>
    </row>
    <row r="36" customFormat="false" ht="72" hidden="false" customHeight="true" outlineLevel="0" collapsed="false">
      <c r="A36" s="12" t="s">
        <v>70</v>
      </c>
      <c r="B36" s="43"/>
      <c r="C36" s="43"/>
      <c r="D36" s="43"/>
      <c r="E36" s="43"/>
      <c r="F36" s="43"/>
      <c r="G36" s="43"/>
      <c r="H36" s="43"/>
      <c r="I36" s="35"/>
      <c r="J36" s="9"/>
    </row>
    <row r="37" customFormat="false" ht="18" hidden="false" customHeight="true" outlineLevel="0" collapsed="false">
      <c r="A37" s="15" t="s">
        <v>71</v>
      </c>
      <c r="B37" s="43"/>
      <c r="C37" s="43"/>
      <c r="D37" s="43"/>
      <c r="E37" s="43"/>
      <c r="F37" s="43"/>
      <c r="G37" s="43"/>
      <c r="H37" s="43"/>
      <c r="I37" s="35"/>
      <c r="J37" s="9"/>
    </row>
    <row r="38" customFormat="false" ht="18" hidden="false" customHeight="true" outlineLevel="0" collapsed="false">
      <c r="A38" s="12" t="s">
        <v>72</v>
      </c>
      <c r="B38" s="43"/>
      <c r="C38" s="43"/>
      <c r="D38" s="43"/>
      <c r="E38" s="43"/>
      <c r="F38" s="43"/>
      <c r="G38" s="43"/>
      <c r="H38" s="43"/>
      <c r="I38" s="35"/>
      <c r="J38" s="9"/>
    </row>
    <row r="39" customFormat="false" ht="36" hidden="false" customHeight="true" outlineLevel="0" collapsed="false">
      <c r="A39" s="15" t="s">
        <v>73</v>
      </c>
      <c r="B39" s="43"/>
      <c r="C39" s="43"/>
      <c r="D39" s="43"/>
      <c r="E39" s="43"/>
      <c r="F39" s="43"/>
      <c r="G39" s="43"/>
      <c r="H39" s="43"/>
      <c r="I39" s="35"/>
      <c r="J39" s="9"/>
    </row>
    <row r="40" customFormat="false" ht="36" hidden="false" customHeight="true" outlineLevel="0" collapsed="false">
      <c r="A40" s="12" t="s">
        <v>74</v>
      </c>
      <c r="B40" s="43"/>
      <c r="C40" s="43"/>
      <c r="D40" s="43"/>
      <c r="E40" s="43"/>
      <c r="F40" s="43"/>
      <c r="G40" s="43"/>
      <c r="H40" s="43"/>
      <c r="I40" s="35"/>
      <c r="J40" s="9"/>
    </row>
    <row r="41" customFormat="false" ht="36" hidden="false" customHeight="true" outlineLevel="0" collapsed="false">
      <c r="A41" s="15" t="s">
        <v>75</v>
      </c>
      <c r="B41" s="43"/>
      <c r="C41" s="43"/>
      <c r="D41" s="43"/>
      <c r="E41" s="43"/>
      <c r="F41" s="43"/>
      <c r="G41" s="43"/>
      <c r="H41" s="43"/>
      <c r="I41" s="35"/>
      <c r="J41" s="9"/>
    </row>
    <row r="42" customFormat="false" ht="18" hidden="false" customHeight="true" outlineLevel="0" collapsed="false">
      <c r="A42" s="12" t="s">
        <v>76</v>
      </c>
      <c r="B42" s="43"/>
      <c r="C42" s="43"/>
      <c r="D42" s="43"/>
      <c r="E42" s="43"/>
      <c r="F42" s="43"/>
      <c r="G42" s="43"/>
      <c r="H42" s="43"/>
      <c r="I42" s="35"/>
      <c r="J42" s="9"/>
    </row>
    <row r="43" customFormat="false" ht="19.5" hidden="false" customHeight="true" outlineLevel="0" collapsed="false">
      <c r="A43" s="34" t="s">
        <v>77</v>
      </c>
      <c r="B43" s="34"/>
      <c r="C43" s="34"/>
      <c r="D43" s="34"/>
      <c r="E43" s="34"/>
      <c r="F43" s="34"/>
      <c r="G43" s="34"/>
      <c r="H43" s="34"/>
      <c r="I43" s="35"/>
      <c r="J43" s="9"/>
    </row>
    <row r="44" customFormat="false" ht="18" hidden="false" customHeight="true" outlineLevel="0" collapsed="false">
      <c r="A44" s="5" t="s">
        <v>78</v>
      </c>
      <c r="B44" s="5" t="s">
        <v>79</v>
      </c>
      <c r="C44" s="5" t="s">
        <v>80</v>
      </c>
      <c r="D44" s="5" t="s">
        <v>81</v>
      </c>
      <c r="E44" s="5" t="s">
        <v>82</v>
      </c>
      <c r="F44" s="5" t="s">
        <v>83</v>
      </c>
      <c r="G44" s="5" t="s">
        <v>84</v>
      </c>
      <c r="I44" s="35"/>
      <c r="J44" s="9"/>
    </row>
    <row r="45" customFormat="false" ht="18" hidden="false" customHeight="true" outlineLevel="0" collapsed="false">
      <c r="A45" s="39"/>
      <c r="B45" s="39"/>
      <c r="C45" s="39"/>
      <c r="D45" s="39"/>
      <c r="E45" s="39"/>
      <c r="F45" s="39"/>
      <c r="G45" s="39"/>
      <c r="H45" s="39"/>
      <c r="J45" s="9"/>
    </row>
    <row r="46" customFormat="false" ht="18" hidden="false" customHeight="true" outlineLevel="0" collapsed="false">
      <c r="A46" s="40"/>
      <c r="B46" s="40"/>
      <c r="C46" s="40"/>
      <c r="D46" s="40"/>
      <c r="E46" s="40"/>
      <c r="F46" s="40"/>
      <c r="G46" s="40"/>
      <c r="H46" s="40"/>
      <c r="J46" s="9"/>
    </row>
    <row r="47" customFormat="false" ht="18" hidden="false" customHeight="true" outlineLevel="0" collapsed="false">
      <c r="A47" s="39"/>
      <c r="B47" s="39"/>
      <c r="C47" s="39"/>
      <c r="D47" s="39"/>
      <c r="E47" s="39"/>
      <c r="F47" s="39"/>
      <c r="G47" s="39"/>
      <c r="H47" s="39"/>
      <c r="J47" s="9"/>
    </row>
    <row r="48" customFormat="false" ht="18" hidden="false" customHeight="true" outlineLevel="0" collapsed="false">
      <c r="A48" s="40"/>
      <c r="B48" s="40"/>
      <c r="C48" s="40"/>
      <c r="D48" s="40"/>
      <c r="E48" s="40"/>
      <c r="F48" s="40"/>
      <c r="G48" s="40"/>
      <c r="H48" s="40"/>
      <c r="J48" s="9"/>
    </row>
    <row r="49" customFormat="false" ht="18" hidden="false" customHeight="true" outlineLevel="0" collapsed="false">
      <c r="A49" s="39"/>
      <c r="B49" s="39"/>
      <c r="C49" s="39"/>
      <c r="D49" s="39"/>
      <c r="E49" s="39"/>
      <c r="F49" s="39"/>
      <c r="G49" s="39"/>
      <c r="H49" s="39"/>
      <c r="J49" s="9"/>
    </row>
    <row r="50" customFormat="false" ht="18" hidden="false" customHeight="true" outlineLevel="0" collapsed="false">
      <c r="A50" s="40"/>
      <c r="B50" s="40"/>
      <c r="C50" s="40"/>
      <c r="D50" s="40"/>
      <c r="E50" s="40"/>
      <c r="F50" s="40"/>
      <c r="G50" s="40"/>
      <c r="H50" s="40"/>
      <c r="J50" s="9"/>
    </row>
    <row r="51" customFormat="false" ht="30" hidden="false" customHeight="true" outlineLevel="0" collapsed="false">
      <c r="A51" s="36" t="s">
        <v>85</v>
      </c>
      <c r="B51" s="44"/>
      <c r="C51" s="44"/>
      <c r="D51" s="44"/>
      <c r="E51" s="44"/>
      <c r="F51" s="44"/>
      <c r="G51" s="44"/>
      <c r="H51" s="44"/>
      <c r="I51" s="35"/>
      <c r="J51" s="9"/>
    </row>
  </sheetData>
  <mergeCells count="38">
    <mergeCell ref="A1:H1"/>
    <mergeCell ref="A2:H2"/>
    <mergeCell ref="A4:H4"/>
    <mergeCell ref="B5:H5"/>
    <mergeCell ref="B6:H6"/>
    <mergeCell ref="B7:H7"/>
    <mergeCell ref="B8:H8"/>
    <mergeCell ref="B9:H9"/>
    <mergeCell ref="A11:H11"/>
    <mergeCell ref="E13:H13"/>
    <mergeCell ref="E14:H14"/>
    <mergeCell ref="E15:H15"/>
    <mergeCell ref="E16:H16"/>
    <mergeCell ref="E17:H17"/>
    <mergeCell ref="E18:H18"/>
    <mergeCell ref="A20:H20"/>
    <mergeCell ref="A21:H21"/>
    <mergeCell ref="A23:H23"/>
    <mergeCell ref="B24:H24"/>
    <mergeCell ref="B25:H25"/>
    <mergeCell ref="B26:H26"/>
    <mergeCell ref="B27:H27"/>
    <mergeCell ref="B28:H28"/>
    <mergeCell ref="B29:H29"/>
    <mergeCell ref="B30:H30"/>
    <mergeCell ref="B31:H31"/>
    <mergeCell ref="B32:H32"/>
    <mergeCell ref="B33:H33"/>
    <mergeCell ref="A35:H35"/>
    <mergeCell ref="B36:H36"/>
    <mergeCell ref="B37:H37"/>
    <mergeCell ref="B38:H38"/>
    <mergeCell ref="B39:H39"/>
    <mergeCell ref="B40:H40"/>
    <mergeCell ref="B41:H41"/>
    <mergeCell ref="B42:H42"/>
    <mergeCell ref="A43:H43"/>
    <mergeCell ref="B51:H5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D31" activeCellId="0" sqref="D31"/>
    </sheetView>
  </sheetViews>
  <sheetFormatPr defaultColWidth="8.6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20"/>
    <col collapsed="false" customWidth="true" hidden="false" outlineLevel="0" max="3" min="3" style="1" width="30"/>
    <col collapsed="false" customWidth="true" hidden="false" outlineLevel="0" max="4" min="4" style="1" width="28"/>
    <col collapsed="false" customWidth="true" hidden="false" outlineLevel="0" max="5" min="5" style="1" width="25"/>
    <col collapsed="false" customWidth="true" hidden="false" outlineLevel="0" max="7" min="6" style="1" width="12"/>
    <col collapsed="false" customWidth="true" hidden="false" outlineLevel="0" max="9" min="8" style="1" width="13"/>
    <col collapsed="false" customWidth="true" hidden="false" outlineLevel="0" max="10" min="10" style="1" width="12"/>
    <col collapsed="false" customWidth="true" hidden="false" outlineLevel="0" max="11" min="11" style="1" width="16"/>
    <col collapsed="false" customWidth="true" hidden="false" outlineLevel="0" max="13" min="12" style="1" width="30"/>
    <col collapsed="false" customWidth="true" hidden="false" outlineLevel="0" max="14" min="14" style="1" width="12"/>
    <col collapsed="false" customWidth="true" hidden="false" outlineLevel="0" max="16" min="15" style="0" width="12"/>
  </cols>
  <sheetData>
    <row r="1" customFormat="false" ht="31.5" hidden="false" customHeight="true" outlineLevel="0" collapsed="false">
      <c r="A1" s="45" t="s">
        <v>86</v>
      </c>
      <c r="B1" s="45"/>
      <c r="C1" s="45"/>
      <c r="D1" s="45"/>
      <c r="E1" s="45"/>
      <c r="F1" s="45"/>
      <c r="G1" s="45"/>
      <c r="H1" s="45"/>
      <c r="I1" s="45"/>
      <c r="J1" s="17"/>
      <c r="K1" s="17"/>
      <c r="N1" s="46" t="s">
        <v>87</v>
      </c>
      <c r="O1" s="47" t="s">
        <v>88</v>
      </c>
      <c r="P1" s="48" t="s">
        <v>89</v>
      </c>
    </row>
    <row r="2" customFormat="false" ht="15" hidden="false" customHeight="true" outlineLevel="0" collapsed="false">
      <c r="A2" s="49" t="s">
        <v>90</v>
      </c>
      <c r="B2" s="49"/>
      <c r="C2" s="49"/>
      <c r="D2" s="49"/>
      <c r="E2" s="49"/>
      <c r="F2" s="49"/>
      <c r="G2" s="49"/>
      <c r="H2" s="49"/>
      <c r="I2" s="49"/>
      <c r="J2" s="17"/>
      <c r="K2" s="17"/>
    </row>
    <row r="3" customFormat="false" ht="23.25" hidden="false" customHeight="true" outlineLevel="0" collapsed="false">
      <c r="A3" s="50" t="s">
        <v>91</v>
      </c>
      <c r="B3" s="50" t="s">
        <v>92</v>
      </c>
      <c r="C3" s="50" t="s">
        <v>93</v>
      </c>
      <c r="D3" s="50" t="s">
        <v>94</v>
      </c>
      <c r="E3" s="50" t="s">
        <v>95</v>
      </c>
      <c r="F3" s="50" t="s">
        <v>96</v>
      </c>
      <c r="G3" s="50" t="s">
        <v>97</v>
      </c>
      <c r="H3" s="50" t="s">
        <v>98</v>
      </c>
      <c r="I3" s="50" t="s">
        <v>99</v>
      </c>
      <c r="J3" s="50" t="s">
        <v>100</v>
      </c>
      <c r="K3" s="50" t="s">
        <v>56</v>
      </c>
      <c r="L3" s="50" t="s">
        <v>101</v>
      </c>
      <c r="M3" s="5" t="s">
        <v>3</v>
      </c>
      <c r="N3" s="5" t="s">
        <v>4</v>
      </c>
    </row>
    <row r="4" customFormat="false" ht="45.75" hidden="false" customHeight="true" outlineLevel="0" collapsed="false">
      <c r="A4" s="51" t="s">
        <v>102</v>
      </c>
      <c r="B4" s="23" t="s">
        <v>103</v>
      </c>
      <c r="C4" s="52" t="s">
        <v>104</v>
      </c>
      <c r="D4" s="52" t="s">
        <v>105</v>
      </c>
      <c r="E4" s="52" t="s">
        <v>106</v>
      </c>
      <c r="F4" s="53" t="s">
        <v>107</v>
      </c>
      <c r="G4" s="24" t="n">
        <v>2</v>
      </c>
      <c r="H4" s="24" t="n">
        <v>5</v>
      </c>
      <c r="I4" s="24" t="n">
        <v>1</v>
      </c>
      <c r="J4" s="54" t="n">
        <f aca="false">IFERROR(SUM(G4:I4),0)</f>
        <v>8</v>
      </c>
      <c r="K4" s="52" t="s">
        <v>108</v>
      </c>
      <c r="M4" s="8"/>
      <c r="N4" s="9"/>
    </row>
    <row r="5" customFormat="false" ht="36" hidden="false" customHeight="true" outlineLevel="0" collapsed="false">
      <c r="A5" s="55" t="s">
        <v>109</v>
      </c>
      <c r="B5" s="19" t="s">
        <v>110</v>
      </c>
      <c r="C5" s="56" t="s">
        <v>111</v>
      </c>
      <c r="D5" s="56" t="s">
        <v>112</v>
      </c>
      <c r="E5" s="56" t="s">
        <v>113</v>
      </c>
      <c r="F5" s="57" t="s">
        <v>114</v>
      </c>
      <c r="G5" s="20" t="n">
        <v>3</v>
      </c>
      <c r="H5" s="20" t="n">
        <v>5</v>
      </c>
      <c r="I5" s="20" t="n">
        <v>4</v>
      </c>
      <c r="J5" s="54" t="n">
        <f aca="false">IFERROR(SUM(G5:I5),0)</f>
        <v>12</v>
      </c>
      <c r="K5" s="56" t="s">
        <v>115</v>
      </c>
      <c r="M5" s="10"/>
      <c r="N5" s="9"/>
    </row>
    <row r="6" customFormat="false" ht="36" hidden="false" customHeight="true" outlineLevel="0" collapsed="false">
      <c r="A6" s="51" t="s">
        <v>116</v>
      </c>
      <c r="B6" s="23" t="s">
        <v>117</v>
      </c>
      <c r="C6" s="52" t="s">
        <v>118</v>
      </c>
      <c r="D6" s="52" t="s">
        <v>119</v>
      </c>
      <c r="E6" s="52" t="s">
        <v>120</v>
      </c>
      <c r="F6" s="57" t="s">
        <v>114</v>
      </c>
      <c r="G6" s="24" t="n">
        <v>4</v>
      </c>
      <c r="H6" s="24" t="n">
        <v>2</v>
      </c>
      <c r="I6" s="24" t="n">
        <v>4</v>
      </c>
      <c r="J6" s="54" t="n">
        <f aca="false">IFERROR(SUM(G6:I6),0)</f>
        <v>10</v>
      </c>
      <c r="K6" s="52" t="s">
        <v>121</v>
      </c>
      <c r="M6" s="8"/>
      <c r="N6" s="9"/>
    </row>
    <row r="7" customFormat="false" ht="36" hidden="false" customHeight="true" outlineLevel="0" collapsed="false">
      <c r="A7" s="55" t="s">
        <v>122</v>
      </c>
      <c r="B7" s="19" t="s">
        <v>123</v>
      </c>
      <c r="C7" s="56" t="s">
        <v>124</v>
      </c>
      <c r="D7" s="56" t="s">
        <v>125</v>
      </c>
      <c r="E7" s="56" t="s">
        <v>126</v>
      </c>
      <c r="F7" s="53" t="s">
        <v>107</v>
      </c>
      <c r="G7" s="20" t="n">
        <v>1</v>
      </c>
      <c r="H7" s="20" t="n">
        <v>8</v>
      </c>
      <c r="I7" s="20" t="n">
        <v>6</v>
      </c>
      <c r="J7" s="54" t="n">
        <f aca="false">IFERROR(SUM(G7:I7),0)</f>
        <v>15</v>
      </c>
      <c r="K7" s="56" t="s">
        <v>127</v>
      </c>
      <c r="M7" s="10"/>
      <c r="N7" s="9"/>
    </row>
    <row r="8" customFormat="false" ht="36" hidden="false" customHeight="true" outlineLevel="0" collapsed="false">
      <c r="A8" s="51" t="s">
        <v>128</v>
      </c>
      <c r="B8" s="23" t="s">
        <v>129</v>
      </c>
      <c r="C8" s="52" t="s">
        <v>130</v>
      </c>
      <c r="D8" s="52" t="s">
        <v>131</v>
      </c>
      <c r="E8" s="52" t="s">
        <v>132</v>
      </c>
      <c r="F8" s="58" t="s">
        <v>133</v>
      </c>
      <c r="G8" s="24" t="n">
        <v>1</v>
      </c>
      <c r="H8" s="24" t="n">
        <v>3</v>
      </c>
      <c r="I8" s="24" t="n">
        <v>1</v>
      </c>
      <c r="J8" s="54" t="n">
        <f aca="false">IFERROR(SUM(G8:I8),0)</f>
        <v>5</v>
      </c>
      <c r="K8" s="52" t="s">
        <v>134</v>
      </c>
      <c r="M8" s="8"/>
      <c r="N8" s="9"/>
    </row>
    <row r="9" customFormat="false" ht="36" hidden="false" customHeight="true" outlineLevel="0" collapsed="false">
      <c r="A9" s="55" t="s">
        <v>135</v>
      </c>
      <c r="B9" s="56"/>
      <c r="C9" s="56"/>
      <c r="D9" s="56"/>
      <c r="E9" s="56"/>
      <c r="F9" s="56"/>
      <c r="G9" s="20"/>
      <c r="H9" s="20"/>
      <c r="I9" s="20"/>
      <c r="J9" s="59" t="n">
        <f aca="false">IFERROR(SUM(G9:I9),0)</f>
        <v>0</v>
      </c>
      <c r="K9" s="56"/>
      <c r="M9" s="10"/>
      <c r="N9" s="9"/>
    </row>
    <row r="10" customFormat="false" ht="36" hidden="false" customHeight="true" outlineLevel="0" collapsed="false">
      <c r="A10" s="51" t="s">
        <v>136</v>
      </c>
      <c r="B10" s="52"/>
      <c r="C10" s="52"/>
      <c r="D10" s="52"/>
      <c r="E10" s="52"/>
      <c r="F10" s="52"/>
      <c r="G10" s="24"/>
      <c r="H10" s="24"/>
      <c r="I10" s="24"/>
      <c r="J10" s="60" t="n">
        <f aca="false">IFERROR(SUM(G10:I10),0)</f>
        <v>0</v>
      </c>
      <c r="K10" s="52"/>
      <c r="M10" s="8"/>
      <c r="N10" s="9"/>
    </row>
    <row r="11" customFormat="false" ht="36" hidden="false" customHeight="true" outlineLevel="0" collapsed="false">
      <c r="A11" s="55" t="s">
        <v>137</v>
      </c>
      <c r="B11" s="56"/>
      <c r="C11" s="56"/>
      <c r="D11" s="56"/>
      <c r="E11" s="56"/>
      <c r="F11" s="56"/>
      <c r="G11" s="20"/>
      <c r="H11" s="20"/>
      <c r="I11" s="20"/>
      <c r="J11" s="59" t="n">
        <f aca="false">IFERROR(SUM(G11:I11),0)</f>
        <v>0</v>
      </c>
      <c r="K11" s="56"/>
      <c r="M11" s="10"/>
      <c r="N11" s="9"/>
    </row>
    <row r="12" customFormat="false" ht="36" hidden="false" customHeight="true" outlineLevel="0" collapsed="false">
      <c r="A12" s="51" t="s">
        <v>138</v>
      </c>
      <c r="B12" s="52"/>
      <c r="C12" s="52"/>
      <c r="D12" s="52"/>
      <c r="E12" s="52"/>
      <c r="F12" s="52"/>
      <c r="G12" s="24"/>
      <c r="H12" s="24"/>
      <c r="I12" s="24"/>
      <c r="J12" s="60" t="n">
        <f aca="false">IFERROR(SUM(G12:I12),0)</f>
        <v>0</v>
      </c>
      <c r="K12" s="52"/>
      <c r="M12" s="8"/>
      <c r="N12" s="9"/>
    </row>
    <row r="13" customFormat="false" ht="36" hidden="false" customHeight="true" outlineLevel="0" collapsed="false">
      <c r="A13" s="55" t="s">
        <v>139</v>
      </c>
      <c r="B13" s="56"/>
      <c r="C13" s="56"/>
      <c r="D13" s="56"/>
      <c r="E13" s="56"/>
      <c r="F13" s="56"/>
      <c r="G13" s="20"/>
      <c r="H13" s="20"/>
      <c r="I13" s="20"/>
      <c r="J13" s="59" t="n">
        <f aca="false">IFERROR(SUM(G13:I13),0)</f>
        <v>0</v>
      </c>
      <c r="K13" s="56"/>
      <c r="M13" s="10"/>
      <c r="N13" s="9"/>
    </row>
    <row r="14" customFormat="false" ht="36" hidden="false" customHeight="true" outlineLevel="0" collapsed="false">
      <c r="A14" s="51" t="s">
        <v>140</v>
      </c>
      <c r="B14" s="52"/>
      <c r="C14" s="52"/>
      <c r="D14" s="52"/>
      <c r="E14" s="52"/>
      <c r="F14" s="52"/>
      <c r="G14" s="24"/>
      <c r="H14" s="24"/>
      <c r="I14" s="24"/>
      <c r="J14" s="60" t="n">
        <f aca="false">IFERROR(SUM(G14:I14),0)</f>
        <v>0</v>
      </c>
      <c r="K14" s="52"/>
      <c r="M14" s="8"/>
      <c r="N14" s="9"/>
    </row>
    <row r="15" customFormat="false" ht="36" hidden="false" customHeight="true" outlineLevel="0" collapsed="false">
      <c r="A15" s="55" t="s">
        <v>141</v>
      </c>
      <c r="B15" s="56"/>
      <c r="C15" s="56"/>
      <c r="D15" s="56"/>
      <c r="E15" s="56"/>
      <c r="F15" s="56"/>
      <c r="G15" s="20"/>
      <c r="H15" s="20"/>
      <c r="I15" s="20"/>
      <c r="J15" s="59" t="n">
        <f aca="false">IFERROR(SUM(G15:I15),0)</f>
        <v>0</v>
      </c>
      <c r="K15" s="56"/>
      <c r="M15" s="10"/>
      <c r="N15" s="9"/>
    </row>
    <row r="16" customFormat="false" ht="36" hidden="false" customHeight="true" outlineLevel="0" collapsed="false">
      <c r="A16" s="51" t="s">
        <v>142</v>
      </c>
      <c r="B16" s="52"/>
      <c r="C16" s="52"/>
      <c r="D16" s="52"/>
      <c r="E16" s="52"/>
      <c r="F16" s="52"/>
      <c r="G16" s="24"/>
      <c r="H16" s="24"/>
      <c r="I16" s="24"/>
      <c r="J16" s="60" t="n">
        <f aca="false">IFERROR(SUM(G16:I16),0)</f>
        <v>0</v>
      </c>
      <c r="K16" s="52"/>
      <c r="M16" s="8"/>
      <c r="N16" s="9"/>
    </row>
    <row r="17" customFormat="false" ht="36" hidden="false" customHeight="true" outlineLevel="0" collapsed="false">
      <c r="A17" s="55" t="s">
        <v>143</v>
      </c>
      <c r="B17" s="56"/>
      <c r="C17" s="56"/>
      <c r="D17" s="56"/>
      <c r="E17" s="56"/>
      <c r="F17" s="56"/>
      <c r="G17" s="20"/>
      <c r="H17" s="20"/>
      <c r="I17" s="20"/>
      <c r="J17" s="59" t="n">
        <f aca="false">IFERROR(SUM(G17:I17),0)</f>
        <v>0</v>
      </c>
      <c r="K17" s="56"/>
      <c r="M17" s="10"/>
      <c r="N17" s="9"/>
    </row>
    <row r="18" customFormat="false" ht="36" hidden="false" customHeight="true" outlineLevel="0" collapsed="false">
      <c r="A18" s="51" t="s">
        <v>144</v>
      </c>
      <c r="B18" s="52"/>
      <c r="C18" s="52"/>
      <c r="D18" s="52"/>
      <c r="E18" s="52"/>
      <c r="F18" s="52"/>
      <c r="G18" s="24"/>
      <c r="H18" s="24"/>
      <c r="I18" s="24"/>
      <c r="J18" s="60" t="n">
        <f aca="false">IFERROR(SUM(G18:I18),0)</f>
        <v>0</v>
      </c>
      <c r="K18" s="52"/>
      <c r="M18" s="8"/>
      <c r="N18" s="9"/>
    </row>
    <row r="19" customFormat="false" ht="36" hidden="false" customHeight="true" outlineLevel="0" collapsed="false">
      <c r="A19" s="55" t="s">
        <v>145</v>
      </c>
      <c r="B19" s="56"/>
      <c r="C19" s="56"/>
      <c r="D19" s="56"/>
      <c r="E19" s="56"/>
      <c r="F19" s="56"/>
      <c r="G19" s="20"/>
      <c r="H19" s="20"/>
      <c r="I19" s="20"/>
      <c r="J19" s="59" t="n">
        <f aca="false">IFERROR(SUM(G19:I19),0)</f>
        <v>0</v>
      </c>
      <c r="K19" s="56"/>
      <c r="M19" s="10"/>
      <c r="N19" s="9"/>
    </row>
    <row r="20" customFormat="false" ht="36" hidden="false" customHeight="true" outlineLevel="0" collapsed="false">
      <c r="A20" s="52"/>
      <c r="B20" s="52"/>
      <c r="C20" s="52"/>
      <c r="D20" s="52"/>
      <c r="E20" s="52"/>
      <c r="F20" s="52"/>
      <c r="G20" s="52"/>
      <c r="H20" s="52"/>
      <c r="I20" s="52"/>
      <c r="J20" s="60" t="n">
        <f aca="false">IFERROR(SUM(G20:I20),0)</f>
        <v>0</v>
      </c>
      <c r="M20" s="8"/>
      <c r="N20" s="9"/>
    </row>
    <row r="21" customFormat="false" ht="36" hidden="false" customHeight="true" outlineLevel="0" collapsed="false">
      <c r="A21" s="61" t="s">
        <v>146</v>
      </c>
      <c r="B21" s="61"/>
      <c r="C21" s="61"/>
      <c r="D21" s="62"/>
      <c r="E21" s="62"/>
      <c r="F21" s="62"/>
      <c r="G21" s="63" t="n">
        <f aca="false">SUM(G4:G20)</f>
        <v>11</v>
      </c>
      <c r="H21" s="63" t="n">
        <f aca="false">SUM(H4:H20)</f>
        <v>23</v>
      </c>
      <c r="I21" s="63" t="n">
        <f aca="false">SUM(I4:I20)</f>
        <v>16</v>
      </c>
      <c r="J21" s="26" t="n">
        <f aca="false">SUM(J4:J20)</f>
        <v>50</v>
      </c>
      <c r="M21" s="10"/>
      <c r="N21" s="9"/>
    </row>
  </sheetData>
  <autoFilter ref="A3:L20"/>
  <mergeCells count="3">
    <mergeCell ref="A1:I1"/>
    <mergeCell ref="A2:I2"/>
    <mergeCell ref="A21:C21"/>
  </mergeCells>
  <dataValidations count="2">
    <dataValidation allowBlank="true" error="Seleziona: Alta, Media o Bassa" errorStyle="stop" errorTitle="Valore non valido" operator="between" showDropDown="false" showErrorMessage="false" showInputMessage="false" sqref="F4:F200" type="list">
      <formula1>"Alta,Media,Bassa"</formula1>
      <formula2>0</formula2>
    </dataValidation>
    <dataValidation allowBlank="true" errorStyle="stop" operator="between" showDropDown="false" showErrorMessage="false" showInputMessage="false" sqref="K4:K200" type="list">
      <formula1>"Must Have,Should Have,Nice to Have"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1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3" topLeftCell="A4" activePane="bottomLeft" state="frozen"/>
      <selection pane="topLeft" activeCell="A1" activeCellId="0" sqref="A1"/>
      <selection pane="bottomLeft" activeCell="E5" activeCellId="0" sqref="E5"/>
    </sheetView>
  </sheetViews>
  <sheetFormatPr defaultColWidth="8.6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6"/>
    <col collapsed="false" customWidth="true" hidden="false" outlineLevel="0" max="3" min="3" style="1" width="36"/>
    <col collapsed="false" customWidth="true" hidden="false" outlineLevel="0" max="5" min="4" style="1" width="12"/>
    <col collapsed="false" customWidth="true" hidden="false" outlineLevel="0" max="6" min="6" style="1" width="14"/>
    <col collapsed="false" customWidth="true" hidden="false" outlineLevel="0" max="7" min="7" style="1" width="36"/>
    <col collapsed="false" customWidth="true" hidden="false" outlineLevel="0" max="8" min="8" style="1" width="14"/>
    <col collapsed="false" customWidth="true" hidden="false" outlineLevel="0" max="9" min="9" style="1" width="30"/>
    <col collapsed="false" customWidth="true" hidden="false" outlineLevel="0" max="10" min="10" style="1" width="12"/>
    <col collapsed="false" customWidth="true" hidden="false" outlineLevel="0" max="12" min="11" style="0" width="12"/>
  </cols>
  <sheetData>
    <row r="1" customFormat="false" ht="31.5" hidden="false" customHeight="true" outlineLevel="0" collapsed="false">
      <c r="A1" s="45" t="s">
        <v>147</v>
      </c>
      <c r="B1" s="45"/>
      <c r="C1" s="45"/>
      <c r="D1" s="45"/>
      <c r="E1" s="45"/>
      <c r="F1" s="45"/>
      <c r="G1" s="45"/>
      <c r="H1" s="45"/>
      <c r="J1" s="46" t="s">
        <v>87</v>
      </c>
      <c r="K1" s="47" t="s">
        <v>88</v>
      </c>
      <c r="L1" s="48" t="s">
        <v>89</v>
      </c>
    </row>
    <row r="2" customFormat="false" ht="15" hidden="false" customHeight="true" outlineLevel="0" collapsed="false">
      <c r="A2" s="4" t="s">
        <v>148</v>
      </c>
      <c r="B2" s="4"/>
      <c r="C2" s="4"/>
      <c r="D2" s="4"/>
      <c r="E2" s="4"/>
      <c r="F2" s="4"/>
      <c r="G2" s="4"/>
      <c r="H2" s="4"/>
    </row>
    <row r="3" customFormat="false" ht="23.25" hidden="false" customHeight="true" outlineLevel="0" collapsed="false">
      <c r="A3" s="50" t="s">
        <v>149</v>
      </c>
      <c r="B3" s="50" t="s">
        <v>150</v>
      </c>
      <c r="C3" s="50" t="s">
        <v>151</v>
      </c>
      <c r="D3" s="50" t="s">
        <v>152</v>
      </c>
      <c r="E3" s="50" t="s">
        <v>80</v>
      </c>
      <c r="F3" s="50" t="s">
        <v>153</v>
      </c>
      <c r="G3" s="50" t="s">
        <v>154</v>
      </c>
      <c r="H3" s="50" t="s">
        <v>84</v>
      </c>
      <c r="I3" s="5" t="s">
        <v>3</v>
      </c>
      <c r="J3" s="5" t="s">
        <v>4</v>
      </c>
    </row>
    <row r="4" customFormat="false" ht="79.5" hidden="false" customHeight="true" outlineLevel="0" collapsed="false">
      <c r="A4" s="51" t="s">
        <v>155</v>
      </c>
      <c r="B4" s="23" t="s">
        <v>156</v>
      </c>
      <c r="C4" s="52" t="s">
        <v>157</v>
      </c>
      <c r="D4" s="52" t="s">
        <v>158</v>
      </c>
      <c r="E4" s="53" t="s">
        <v>159</v>
      </c>
      <c r="F4" s="23" t="s">
        <v>160</v>
      </c>
      <c r="G4" s="51" t="s">
        <v>161</v>
      </c>
      <c r="H4" s="52" t="s">
        <v>162</v>
      </c>
      <c r="I4" s="8"/>
      <c r="J4" s="9"/>
    </row>
    <row r="5" customFormat="false" ht="79.5" hidden="false" customHeight="true" outlineLevel="0" collapsed="false">
      <c r="A5" s="55" t="s">
        <v>163</v>
      </c>
      <c r="B5" s="19" t="s">
        <v>164</v>
      </c>
      <c r="C5" s="56" t="s">
        <v>165</v>
      </c>
      <c r="D5" s="56" t="s">
        <v>166</v>
      </c>
      <c r="E5" s="53" t="s">
        <v>159</v>
      </c>
      <c r="F5" s="19" t="s">
        <v>167</v>
      </c>
      <c r="G5" s="55" t="s">
        <v>168</v>
      </c>
      <c r="H5" s="56" t="s">
        <v>169</v>
      </c>
      <c r="I5" s="10"/>
      <c r="J5" s="9"/>
    </row>
    <row r="6" customFormat="false" ht="57" hidden="false" customHeight="true" outlineLevel="0" collapsed="false">
      <c r="A6" s="51" t="s">
        <v>170</v>
      </c>
      <c r="B6" s="23" t="s">
        <v>171</v>
      </c>
      <c r="C6" s="52" t="s">
        <v>172</v>
      </c>
      <c r="D6" s="52" t="s">
        <v>173</v>
      </c>
      <c r="E6" s="57" t="s">
        <v>174</v>
      </c>
      <c r="F6" s="23" t="s">
        <v>175</v>
      </c>
      <c r="G6" s="51" t="s">
        <v>168</v>
      </c>
      <c r="H6" s="52" t="s">
        <v>176</v>
      </c>
      <c r="I6" s="8"/>
      <c r="J6" s="9"/>
    </row>
    <row r="7" customFormat="false" ht="68.25" hidden="false" customHeight="true" outlineLevel="0" collapsed="false">
      <c r="A7" s="55" t="s">
        <v>177</v>
      </c>
      <c r="B7" s="19" t="s">
        <v>178</v>
      </c>
      <c r="C7" s="56" t="s">
        <v>179</v>
      </c>
      <c r="D7" s="56" t="s">
        <v>180</v>
      </c>
      <c r="E7" s="57" t="s">
        <v>174</v>
      </c>
      <c r="F7" s="19" t="s">
        <v>181</v>
      </c>
      <c r="G7" s="55" t="s">
        <v>182</v>
      </c>
      <c r="H7" s="56" t="s">
        <v>183</v>
      </c>
      <c r="I7" s="10"/>
      <c r="J7" s="9"/>
    </row>
    <row r="8" customFormat="false" ht="79.5" hidden="false" customHeight="true" outlineLevel="0" collapsed="false">
      <c r="A8" s="51" t="s">
        <v>184</v>
      </c>
      <c r="B8" s="23" t="s">
        <v>185</v>
      </c>
      <c r="C8" s="52" t="s">
        <v>186</v>
      </c>
      <c r="D8" s="52" t="s">
        <v>187</v>
      </c>
      <c r="E8" s="53" t="s">
        <v>159</v>
      </c>
      <c r="F8" s="23" t="s">
        <v>188</v>
      </c>
      <c r="G8" s="51" t="s">
        <v>189</v>
      </c>
      <c r="H8" s="52" t="s">
        <v>190</v>
      </c>
      <c r="I8" s="8"/>
      <c r="J8" s="9"/>
    </row>
    <row r="9" customFormat="false" ht="79.5" hidden="false" customHeight="true" outlineLevel="0" collapsed="false">
      <c r="A9" s="55" t="s">
        <v>191</v>
      </c>
      <c r="B9" s="19" t="s">
        <v>192</v>
      </c>
      <c r="C9" s="56" t="s">
        <v>193</v>
      </c>
      <c r="D9" s="56" t="s">
        <v>194</v>
      </c>
      <c r="E9" s="57" t="s">
        <v>174</v>
      </c>
      <c r="F9" s="19" t="s">
        <v>195</v>
      </c>
      <c r="G9" s="55" t="s">
        <v>196</v>
      </c>
      <c r="H9" s="56" t="s">
        <v>197</v>
      </c>
      <c r="I9" s="10"/>
      <c r="J9" s="9"/>
    </row>
    <row r="10" customFormat="false" ht="34.5" hidden="false" customHeight="true" outlineLevel="0" collapsed="false">
      <c r="A10" s="51" t="s">
        <v>198</v>
      </c>
      <c r="B10" s="23" t="s">
        <v>199</v>
      </c>
      <c r="C10" s="52" t="s">
        <v>200</v>
      </c>
      <c r="D10" s="52" t="s">
        <v>201</v>
      </c>
      <c r="E10" s="58" t="s">
        <v>202</v>
      </c>
      <c r="F10" s="23" t="s">
        <v>203</v>
      </c>
      <c r="G10" s="51" t="s">
        <v>204</v>
      </c>
      <c r="H10" s="52" t="s">
        <v>205</v>
      </c>
      <c r="I10" s="8"/>
      <c r="J10" s="9"/>
    </row>
    <row r="11" customFormat="false" ht="15" hidden="false" customHeight="true" outlineLevel="0" collapsed="false">
      <c r="I11" s="10"/>
      <c r="J11" s="9"/>
    </row>
    <row r="12" customFormat="false" ht="15" hidden="false" customHeight="true" outlineLevel="0" collapsed="false">
      <c r="I12" s="8"/>
      <c r="J12" s="9"/>
    </row>
    <row r="13" customFormat="false" ht="15" hidden="false" customHeight="true" outlineLevel="0" collapsed="false">
      <c r="A13" s="4" t="s">
        <v>206</v>
      </c>
      <c r="B13" s="4"/>
      <c r="C13" s="4"/>
      <c r="D13" s="4"/>
      <c r="E13" s="4"/>
      <c r="F13" s="4"/>
      <c r="G13" s="4"/>
      <c r="H13" s="4"/>
      <c r="I13" s="10"/>
      <c r="J13" s="9"/>
    </row>
    <row r="14" customFormat="false" ht="15" hidden="false" customHeight="true" outlineLevel="0" collapsed="false">
      <c r="A14" s="50" t="s">
        <v>149</v>
      </c>
      <c r="B14" s="50" t="s">
        <v>150</v>
      </c>
      <c r="C14" s="50" t="s">
        <v>207</v>
      </c>
      <c r="D14" s="50" t="s">
        <v>208</v>
      </c>
      <c r="E14" s="50" t="s">
        <v>209</v>
      </c>
      <c r="F14" s="50" t="s">
        <v>210</v>
      </c>
      <c r="G14" s="50" t="s">
        <v>211</v>
      </c>
      <c r="H14" s="50" t="s">
        <v>212</v>
      </c>
      <c r="I14" s="8"/>
      <c r="J14" s="9"/>
    </row>
    <row r="15" customFormat="false" ht="34.5" hidden="false" customHeight="true" outlineLevel="0" collapsed="false">
      <c r="A15" s="51" t="s">
        <v>213</v>
      </c>
      <c r="B15" s="23" t="s">
        <v>214</v>
      </c>
      <c r="C15" s="52" t="s">
        <v>215</v>
      </c>
      <c r="D15" s="51" t="s">
        <v>216</v>
      </c>
      <c r="E15" s="51" t="s">
        <v>217</v>
      </c>
      <c r="F15" s="64" t="s">
        <v>218</v>
      </c>
      <c r="G15" s="52" t="s">
        <v>219</v>
      </c>
      <c r="H15" s="23" t="s">
        <v>220</v>
      </c>
      <c r="I15" s="10"/>
      <c r="J15" s="9"/>
    </row>
    <row r="16" customFormat="false" ht="34.5" hidden="false" customHeight="true" outlineLevel="0" collapsed="false">
      <c r="A16" s="55" t="s">
        <v>221</v>
      </c>
      <c r="B16" s="19" t="s">
        <v>222</v>
      </c>
      <c r="C16" s="56" t="s">
        <v>223</v>
      </c>
      <c r="D16" s="55" t="s">
        <v>224</v>
      </c>
      <c r="E16" s="55" t="s">
        <v>217</v>
      </c>
      <c r="F16" s="53" t="s">
        <v>225</v>
      </c>
      <c r="G16" s="56" t="s">
        <v>226</v>
      </c>
      <c r="H16" s="19" t="s">
        <v>227</v>
      </c>
      <c r="I16" s="8"/>
      <c r="J16" s="9"/>
    </row>
    <row r="17" customFormat="false" ht="34.5" hidden="false" customHeight="true" outlineLevel="0" collapsed="false">
      <c r="A17" s="51" t="s">
        <v>228</v>
      </c>
      <c r="B17" s="23" t="s">
        <v>229</v>
      </c>
      <c r="C17" s="52" t="s">
        <v>230</v>
      </c>
      <c r="D17" s="51" t="s">
        <v>216</v>
      </c>
      <c r="E17" s="51" t="s">
        <v>231</v>
      </c>
      <c r="F17" s="53" t="s">
        <v>225</v>
      </c>
      <c r="G17" s="52" t="s">
        <v>232</v>
      </c>
      <c r="H17" s="23" t="s">
        <v>233</v>
      </c>
      <c r="I17" s="10"/>
      <c r="J17" s="9"/>
    </row>
    <row r="18" customFormat="false" ht="34.5" hidden="false" customHeight="true" outlineLevel="0" collapsed="false">
      <c r="A18" s="55" t="s">
        <v>234</v>
      </c>
      <c r="B18" s="19" t="s">
        <v>171</v>
      </c>
      <c r="C18" s="56" t="s">
        <v>235</v>
      </c>
      <c r="D18" s="55" t="s">
        <v>224</v>
      </c>
      <c r="E18" s="55" t="s">
        <v>217</v>
      </c>
      <c r="F18" s="53" t="s">
        <v>225</v>
      </c>
      <c r="G18" s="56" t="s">
        <v>236</v>
      </c>
      <c r="H18" s="19" t="s">
        <v>237</v>
      </c>
      <c r="I18" s="8"/>
      <c r="J18" s="9"/>
    </row>
    <row r="19" customFormat="false" ht="34.5" hidden="false" customHeight="true" outlineLevel="0" collapsed="false">
      <c r="A19" s="51" t="s">
        <v>238</v>
      </c>
      <c r="B19" s="23" t="s">
        <v>239</v>
      </c>
      <c r="C19" s="52" t="s">
        <v>240</v>
      </c>
      <c r="D19" s="51" t="s">
        <v>224</v>
      </c>
      <c r="E19" s="51" t="s">
        <v>231</v>
      </c>
      <c r="F19" s="57" t="s">
        <v>241</v>
      </c>
      <c r="G19" s="52" t="s">
        <v>242</v>
      </c>
      <c r="H19" s="23" t="s">
        <v>243</v>
      </c>
      <c r="I19" s="10"/>
      <c r="J19" s="9"/>
    </row>
    <row r="20" customFormat="false" ht="34.5" hidden="false" customHeight="true" outlineLevel="0" collapsed="false">
      <c r="A20" s="55" t="s">
        <v>244</v>
      </c>
      <c r="B20" s="19" t="s">
        <v>192</v>
      </c>
      <c r="C20" s="56" t="s">
        <v>245</v>
      </c>
      <c r="D20" s="55" t="s">
        <v>246</v>
      </c>
      <c r="E20" s="55" t="s">
        <v>217</v>
      </c>
      <c r="F20" s="57" t="s">
        <v>247</v>
      </c>
      <c r="G20" s="56" t="s">
        <v>248</v>
      </c>
      <c r="H20" s="19" t="s">
        <v>249</v>
      </c>
      <c r="I20" s="8"/>
      <c r="J20" s="9"/>
    </row>
    <row r="21" customFormat="false" ht="34.5" hidden="false" customHeight="true" outlineLevel="0" collapsed="false">
      <c r="A21" s="51" t="s">
        <v>250</v>
      </c>
      <c r="B21" s="23" t="s">
        <v>251</v>
      </c>
      <c r="C21" s="52" t="s">
        <v>252</v>
      </c>
      <c r="D21" s="51" t="s">
        <v>246</v>
      </c>
      <c r="E21" s="51" t="s">
        <v>231</v>
      </c>
      <c r="F21" s="58" t="s">
        <v>253</v>
      </c>
      <c r="G21" s="52" t="s">
        <v>254</v>
      </c>
      <c r="H21" s="23" t="s">
        <v>255</v>
      </c>
      <c r="I21" s="10"/>
      <c r="J21" s="9"/>
    </row>
  </sheetData>
  <mergeCells count="3">
    <mergeCell ref="A1:H1"/>
    <mergeCell ref="A2:H2"/>
    <mergeCell ref="A13:H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4"/>
    <col collapsed="false" customWidth="true" hidden="false" outlineLevel="0" max="3" min="3" style="1" width="28"/>
    <col collapsed="false" customWidth="true" hidden="false" outlineLevel="0" max="4" min="4" style="1" width="36"/>
    <col collapsed="false" customWidth="true" hidden="false" outlineLevel="0" max="5" min="5" style="1" width="30"/>
    <col collapsed="false" customWidth="true" hidden="false" outlineLevel="0" max="6" min="6" style="1" width="22"/>
    <col collapsed="false" customWidth="true" hidden="false" outlineLevel="0" max="7" min="7" style="1" width="36"/>
    <col collapsed="false" customWidth="true" hidden="false" outlineLevel="0" max="9" min="8" style="1" width="12"/>
  </cols>
  <sheetData>
    <row r="1" customFormat="false" ht="25.5" hidden="false" customHeight="true" outlineLevel="0" collapsed="false">
      <c r="A1" s="31" t="s">
        <v>256</v>
      </c>
      <c r="B1" s="31"/>
      <c r="C1" s="31"/>
      <c r="D1" s="31"/>
      <c r="E1" s="31"/>
      <c r="F1" s="31"/>
      <c r="G1" s="31"/>
      <c r="H1" s="31"/>
    </row>
    <row r="2" customFormat="false" ht="15.75" hidden="false" customHeight="true" outlineLevel="0" collapsed="false">
      <c r="A2" s="65" t="s">
        <v>257</v>
      </c>
      <c r="B2" s="65"/>
      <c r="C2" s="65"/>
      <c r="D2" s="65"/>
      <c r="E2" s="65"/>
      <c r="F2" s="65"/>
      <c r="G2" s="65"/>
      <c r="H2" s="65"/>
    </row>
    <row r="3" customFormat="false" ht="19.5" hidden="false" customHeight="true" outlineLevel="0" collapsed="false">
      <c r="A3" s="5" t="s">
        <v>149</v>
      </c>
      <c r="B3" s="5" t="s">
        <v>150</v>
      </c>
      <c r="C3" s="5" t="s">
        <v>258</v>
      </c>
      <c r="D3" s="5" t="s">
        <v>259</v>
      </c>
      <c r="E3" s="5" t="s">
        <v>260</v>
      </c>
      <c r="F3" s="5" t="s">
        <v>261</v>
      </c>
      <c r="G3" s="5" t="s">
        <v>262</v>
      </c>
      <c r="H3" s="5" t="s">
        <v>80</v>
      </c>
      <c r="I3" s="5" t="s">
        <v>4</v>
      </c>
    </row>
    <row r="4" customFormat="false" ht="39.75" hidden="false" customHeight="true" outlineLevel="0" collapsed="false">
      <c r="A4" s="66"/>
      <c r="B4" s="67"/>
      <c r="C4" s="67"/>
      <c r="D4" s="67"/>
      <c r="E4" s="67"/>
      <c r="F4" s="67"/>
      <c r="G4" s="68"/>
      <c r="H4" s="69"/>
      <c r="I4" s="9"/>
    </row>
    <row r="5" customFormat="false" ht="39.75" hidden="false" customHeight="true" outlineLevel="0" collapsed="false">
      <c r="A5" s="66"/>
      <c r="B5" s="70"/>
      <c r="C5" s="70"/>
      <c r="D5" s="70"/>
      <c r="E5" s="70"/>
      <c r="F5" s="70"/>
      <c r="G5" s="68"/>
      <c r="H5" s="69"/>
      <c r="I5" s="9"/>
    </row>
    <row r="6" customFormat="false" ht="39.75" hidden="false" customHeight="true" outlineLevel="0" collapsed="false">
      <c r="A6" s="66"/>
      <c r="B6" s="67"/>
      <c r="C6" s="67"/>
      <c r="D6" s="67"/>
      <c r="E6" s="67"/>
      <c r="F6" s="67"/>
      <c r="G6" s="68"/>
      <c r="H6" s="69"/>
      <c r="I6" s="9"/>
    </row>
    <row r="7" customFormat="false" ht="39.75" hidden="false" customHeight="true" outlineLevel="0" collapsed="false">
      <c r="A7" s="66"/>
      <c r="B7" s="70"/>
      <c r="C7" s="70"/>
      <c r="D7" s="70"/>
      <c r="E7" s="70"/>
      <c r="F7" s="70"/>
      <c r="G7" s="68"/>
      <c r="H7" s="69"/>
      <c r="I7" s="9"/>
    </row>
    <row r="8" customFormat="false" ht="39.75" hidden="false" customHeight="true" outlineLevel="0" collapsed="false">
      <c r="A8" s="66"/>
      <c r="B8" s="67"/>
      <c r="C8" s="67"/>
      <c r="D8" s="67"/>
      <c r="E8" s="67"/>
      <c r="F8" s="67"/>
      <c r="G8" s="68"/>
      <c r="H8" s="69"/>
      <c r="I8" s="9"/>
    </row>
    <row r="9" customFormat="false" ht="39.75" hidden="false" customHeight="true" outlineLevel="0" collapsed="false">
      <c r="A9" s="66"/>
      <c r="B9" s="70"/>
      <c r="C9" s="70"/>
      <c r="D9" s="70"/>
      <c r="E9" s="70"/>
      <c r="F9" s="70"/>
      <c r="G9" s="68"/>
      <c r="H9" s="69"/>
      <c r="I9" s="9"/>
    </row>
    <row r="10" customFormat="false" ht="39.75" hidden="false" customHeight="true" outlineLevel="0" collapsed="false">
      <c r="A10" s="66"/>
      <c r="B10" s="67"/>
      <c r="C10" s="67"/>
      <c r="D10" s="67"/>
      <c r="E10" s="67"/>
      <c r="F10" s="67"/>
      <c r="G10" s="68"/>
      <c r="H10" s="69"/>
      <c r="I10" s="9"/>
    </row>
    <row r="11" customFormat="false" ht="39.75" hidden="false" customHeight="true" outlineLevel="0" collapsed="false">
      <c r="A11" s="66"/>
      <c r="B11" s="70"/>
      <c r="C11" s="70"/>
      <c r="D11" s="70"/>
      <c r="E11" s="70"/>
      <c r="F11" s="70"/>
      <c r="G11" s="68"/>
      <c r="H11" s="69"/>
      <c r="I11" s="9"/>
    </row>
    <row r="12" customFormat="false" ht="39.75" hidden="false" customHeight="true" outlineLevel="0" collapsed="false">
      <c r="A12" s="66"/>
      <c r="B12" s="67"/>
      <c r="C12" s="67"/>
      <c r="D12" s="67"/>
      <c r="E12" s="67"/>
      <c r="F12" s="67"/>
      <c r="G12" s="68"/>
      <c r="H12" s="69"/>
      <c r="I12" s="9"/>
    </row>
    <row r="13" customFormat="false" ht="39.75" hidden="false" customHeight="true" outlineLevel="0" collapsed="false">
      <c r="A13" s="66"/>
      <c r="B13" s="70"/>
      <c r="C13" s="70"/>
      <c r="D13" s="70"/>
      <c r="E13" s="70"/>
      <c r="F13" s="70"/>
      <c r="G13" s="68"/>
      <c r="H13" s="69"/>
      <c r="I13" s="9"/>
    </row>
    <row r="14" customFormat="false" ht="39.75" hidden="false" customHeight="true" outlineLevel="0" collapsed="false">
      <c r="A14" s="66"/>
      <c r="B14" s="67"/>
      <c r="C14" s="67"/>
      <c r="D14" s="67"/>
      <c r="E14" s="67"/>
      <c r="F14" s="67"/>
      <c r="G14" s="68"/>
      <c r="H14" s="69"/>
      <c r="I14" s="9"/>
    </row>
    <row r="15" customFormat="false" ht="39.75" hidden="false" customHeight="true" outlineLevel="0" collapsed="false">
      <c r="A15" s="66"/>
      <c r="B15" s="70"/>
      <c r="C15" s="70"/>
      <c r="D15" s="70"/>
      <c r="E15" s="70"/>
      <c r="F15" s="70"/>
      <c r="G15" s="68"/>
      <c r="H15" s="69"/>
      <c r="I15" s="9"/>
    </row>
    <row r="16" customFormat="false" ht="39.75" hidden="false" customHeight="true" outlineLevel="0" collapsed="false">
      <c r="A16" s="66"/>
      <c r="B16" s="67"/>
      <c r="C16" s="67"/>
      <c r="D16" s="67"/>
      <c r="E16" s="67"/>
      <c r="F16" s="67"/>
      <c r="G16" s="68"/>
      <c r="H16" s="69"/>
      <c r="I16" s="9"/>
    </row>
    <row r="17" customFormat="false" ht="39.75" hidden="false" customHeight="true" outlineLevel="0" collapsed="false">
      <c r="A17" s="66"/>
      <c r="B17" s="70"/>
      <c r="C17" s="70"/>
      <c r="D17" s="70"/>
      <c r="E17" s="70"/>
      <c r="F17" s="70"/>
      <c r="G17" s="68"/>
      <c r="H17" s="69"/>
      <c r="I17" s="9"/>
    </row>
    <row r="18" customFormat="false" ht="39.75" hidden="false" customHeight="true" outlineLevel="0" collapsed="false">
      <c r="A18" s="66"/>
      <c r="B18" s="67"/>
      <c r="C18" s="67"/>
      <c r="D18" s="67"/>
      <c r="E18" s="67"/>
      <c r="F18" s="67"/>
      <c r="G18" s="68"/>
      <c r="H18" s="69"/>
      <c r="I18" s="9"/>
    </row>
    <row r="19" customFormat="false" ht="39.75" hidden="false" customHeight="true" outlineLevel="0" collapsed="false">
      <c r="A19" s="66"/>
      <c r="B19" s="70"/>
      <c r="C19" s="70"/>
      <c r="D19" s="70"/>
      <c r="E19" s="70"/>
      <c r="F19" s="70"/>
      <c r="G19" s="68"/>
      <c r="H19" s="69"/>
      <c r="I19" s="9"/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4" min="4" style="1" width="32"/>
    <col collapsed="false" customWidth="true" hidden="false" outlineLevel="0" max="5" min="5" style="1" width="30"/>
    <col collapsed="false" customWidth="true" hidden="false" outlineLevel="0" max="6" min="6" style="1" width="12"/>
    <col collapsed="false" customWidth="true" hidden="false" outlineLevel="0" max="7" min="7" style="1" width="36"/>
    <col collapsed="false" customWidth="true" hidden="false" outlineLevel="0" max="8" min="8" style="1" width="26"/>
    <col collapsed="false" customWidth="true" hidden="false" outlineLevel="0" max="9" min="9" style="1" width="12"/>
    <col collapsed="false" customWidth="true" hidden="false" outlineLevel="0" max="10" min="10" style="1" width="16"/>
  </cols>
  <sheetData>
    <row r="1" customFormat="false" ht="25.5" hidden="false" customHeight="true" outlineLevel="0" collapsed="false">
      <c r="A1" s="31" t="s">
        <v>263</v>
      </c>
      <c r="B1" s="31"/>
      <c r="C1" s="31"/>
      <c r="D1" s="31"/>
      <c r="E1" s="31"/>
      <c r="F1" s="31"/>
      <c r="G1" s="31"/>
      <c r="H1" s="31"/>
      <c r="I1" s="31"/>
      <c r="J1" s="31"/>
    </row>
    <row r="2" customFormat="false" ht="19.5" hidden="false" customHeight="true" outlineLevel="0" collapsed="false">
      <c r="A2" s="65" t="s">
        <v>264</v>
      </c>
      <c r="B2" s="65"/>
      <c r="C2" s="65"/>
      <c r="D2" s="65"/>
      <c r="E2" s="65"/>
      <c r="F2" s="65"/>
      <c r="G2" s="65"/>
      <c r="H2" s="65"/>
      <c r="I2" s="65"/>
      <c r="J2" s="65"/>
    </row>
    <row r="3" customFormat="false" ht="21.75" hidden="false" customHeight="true" outlineLevel="0" collapsed="false">
      <c r="A3" s="5" t="s">
        <v>149</v>
      </c>
      <c r="B3" s="5" t="s">
        <v>265</v>
      </c>
      <c r="C3" s="5" t="s">
        <v>266</v>
      </c>
      <c r="D3" s="5" t="s">
        <v>267</v>
      </c>
      <c r="E3" s="5" t="s">
        <v>268</v>
      </c>
      <c r="F3" s="5" t="s">
        <v>269</v>
      </c>
      <c r="G3" s="5" t="s">
        <v>270</v>
      </c>
      <c r="H3" s="5" t="s">
        <v>271</v>
      </c>
      <c r="I3" s="5" t="s">
        <v>4</v>
      </c>
      <c r="J3" s="5" t="s">
        <v>272</v>
      </c>
    </row>
    <row r="4" customFormat="false" ht="39.75" hidden="false" customHeight="true" outlineLevel="0" collapsed="false">
      <c r="A4" s="71"/>
      <c r="B4" s="10"/>
      <c r="C4" s="10"/>
      <c r="D4" s="10"/>
      <c r="E4" s="10"/>
      <c r="F4" s="10"/>
      <c r="G4" s="10"/>
      <c r="H4" s="10"/>
      <c r="I4" s="9"/>
      <c r="J4" s="72"/>
    </row>
    <row r="5" customFormat="false" ht="39.75" hidden="false" customHeight="true" outlineLevel="0" collapsed="false">
      <c r="A5" s="71"/>
      <c r="B5" s="8"/>
      <c r="C5" s="8"/>
      <c r="D5" s="8"/>
      <c r="E5" s="8"/>
      <c r="F5" s="8"/>
      <c r="G5" s="8"/>
      <c r="H5" s="8"/>
      <c r="I5" s="9"/>
      <c r="J5" s="72"/>
    </row>
    <row r="6" customFormat="false" ht="39.75" hidden="false" customHeight="true" outlineLevel="0" collapsed="false">
      <c r="A6" s="71"/>
      <c r="B6" s="10"/>
      <c r="C6" s="10"/>
      <c r="D6" s="10"/>
      <c r="E6" s="10"/>
      <c r="F6" s="10"/>
      <c r="G6" s="10"/>
      <c r="H6" s="10"/>
      <c r="I6" s="9"/>
      <c r="J6" s="72"/>
    </row>
    <row r="7" customFormat="false" ht="39.75" hidden="false" customHeight="true" outlineLevel="0" collapsed="false">
      <c r="A7" s="71"/>
      <c r="B7" s="8"/>
      <c r="C7" s="8"/>
      <c r="D7" s="8"/>
      <c r="E7" s="8"/>
      <c r="F7" s="8"/>
      <c r="G7" s="8"/>
      <c r="H7" s="8"/>
      <c r="I7" s="9"/>
      <c r="J7" s="72"/>
    </row>
    <row r="8" customFormat="false" ht="39.75" hidden="false" customHeight="true" outlineLevel="0" collapsed="false">
      <c r="A8" s="71"/>
      <c r="B8" s="10"/>
      <c r="C8" s="10"/>
      <c r="D8" s="10"/>
      <c r="E8" s="10"/>
      <c r="F8" s="10"/>
      <c r="G8" s="10"/>
      <c r="H8" s="10"/>
      <c r="I8" s="9"/>
      <c r="J8" s="72"/>
    </row>
    <row r="9" customFormat="false" ht="39.75" hidden="false" customHeight="true" outlineLevel="0" collapsed="false">
      <c r="A9" s="71"/>
      <c r="B9" s="8"/>
      <c r="C9" s="8"/>
      <c r="D9" s="8"/>
      <c r="E9" s="8"/>
      <c r="F9" s="8"/>
      <c r="G9" s="8"/>
      <c r="H9" s="8"/>
      <c r="I9" s="9"/>
      <c r="J9" s="72"/>
    </row>
    <row r="10" customFormat="false" ht="39.75" hidden="false" customHeight="true" outlineLevel="0" collapsed="false">
      <c r="A10" s="71"/>
      <c r="B10" s="10"/>
      <c r="C10" s="10"/>
      <c r="D10" s="10"/>
      <c r="E10" s="10"/>
      <c r="F10" s="10"/>
      <c r="G10" s="10"/>
      <c r="H10" s="10"/>
      <c r="I10" s="9"/>
      <c r="J10" s="72"/>
    </row>
    <row r="11" customFormat="false" ht="39.75" hidden="false" customHeight="true" outlineLevel="0" collapsed="false">
      <c r="A11" s="71"/>
      <c r="B11" s="8"/>
      <c r="C11" s="8"/>
      <c r="D11" s="8"/>
      <c r="E11" s="8"/>
      <c r="F11" s="8"/>
      <c r="G11" s="8"/>
      <c r="H11" s="8"/>
      <c r="I11" s="9"/>
      <c r="J11" s="72"/>
    </row>
    <row r="12" customFormat="false" ht="39.75" hidden="false" customHeight="true" outlineLevel="0" collapsed="false">
      <c r="A12" s="71"/>
      <c r="B12" s="10"/>
      <c r="C12" s="10"/>
      <c r="D12" s="10"/>
      <c r="E12" s="10"/>
      <c r="F12" s="10"/>
      <c r="G12" s="10"/>
      <c r="H12" s="10"/>
      <c r="I12" s="9"/>
      <c r="J12" s="72"/>
    </row>
    <row r="13" customFormat="false" ht="39.75" hidden="false" customHeight="true" outlineLevel="0" collapsed="false">
      <c r="A13" s="71"/>
      <c r="B13" s="8"/>
      <c r="C13" s="8"/>
      <c r="D13" s="8"/>
      <c r="E13" s="8"/>
      <c r="F13" s="8"/>
      <c r="G13" s="8"/>
      <c r="H13" s="8"/>
      <c r="I13" s="9"/>
      <c r="J13" s="72"/>
    </row>
    <row r="14" customFormat="false" ht="39.75" hidden="false" customHeight="true" outlineLevel="0" collapsed="false">
      <c r="A14" s="71"/>
      <c r="B14" s="10"/>
      <c r="C14" s="10"/>
      <c r="D14" s="10"/>
      <c r="E14" s="10"/>
      <c r="F14" s="10"/>
      <c r="G14" s="10"/>
      <c r="H14" s="10"/>
      <c r="I14" s="9"/>
      <c r="J14" s="72"/>
    </row>
    <row r="15" customFormat="false" ht="39.75" hidden="false" customHeight="true" outlineLevel="0" collapsed="false">
      <c r="A15" s="71"/>
      <c r="B15" s="8"/>
      <c r="C15" s="8"/>
      <c r="D15" s="8"/>
      <c r="E15" s="8"/>
      <c r="F15" s="8"/>
      <c r="G15" s="8"/>
      <c r="H15" s="8"/>
      <c r="I15" s="9"/>
      <c r="J15" s="72"/>
    </row>
    <row r="16" customFormat="false" ht="39.75" hidden="false" customHeight="true" outlineLevel="0" collapsed="false">
      <c r="A16" s="71"/>
      <c r="B16" s="10"/>
      <c r="C16" s="10"/>
      <c r="D16" s="10"/>
      <c r="E16" s="10"/>
      <c r="F16" s="10"/>
      <c r="G16" s="10"/>
      <c r="H16" s="10"/>
      <c r="I16" s="9"/>
      <c r="J16" s="72"/>
    </row>
    <row r="17" customFormat="false" ht="39.75" hidden="false" customHeight="true" outlineLevel="0" collapsed="false">
      <c r="A17" s="71"/>
      <c r="B17" s="8"/>
      <c r="C17" s="8"/>
      <c r="D17" s="8"/>
      <c r="E17" s="8"/>
      <c r="F17" s="8"/>
      <c r="G17" s="8"/>
      <c r="H17" s="8"/>
      <c r="I17" s="9"/>
      <c r="J17" s="72"/>
    </row>
    <row r="18" customFormat="false" ht="39.75" hidden="false" customHeight="true" outlineLevel="0" collapsed="false">
      <c r="A18" s="71"/>
      <c r="B18" s="10"/>
      <c r="C18" s="10"/>
      <c r="D18" s="10"/>
      <c r="E18" s="10"/>
      <c r="F18" s="10"/>
      <c r="G18" s="10"/>
      <c r="H18" s="10"/>
      <c r="I18" s="9"/>
      <c r="J18" s="72"/>
    </row>
    <row r="19" customFormat="false" ht="39.75" hidden="false" customHeight="true" outlineLevel="0" collapsed="false">
      <c r="A19" s="71"/>
      <c r="B19" s="8"/>
      <c r="C19" s="8"/>
      <c r="D19" s="8"/>
      <c r="E19" s="8"/>
      <c r="F19" s="8"/>
      <c r="G19" s="8"/>
      <c r="H19" s="8"/>
      <c r="I19" s="9"/>
      <c r="J19" s="72"/>
    </row>
    <row r="20" customFormat="false" ht="39.75" hidden="false" customHeight="true" outlineLevel="0" collapsed="false">
      <c r="A20" s="71"/>
      <c r="B20" s="10"/>
      <c r="C20" s="10"/>
      <c r="D20" s="10"/>
      <c r="E20" s="10"/>
      <c r="F20" s="10"/>
      <c r="G20" s="10"/>
      <c r="H20" s="10"/>
      <c r="I20" s="9"/>
      <c r="J20" s="72"/>
    </row>
    <row r="21" customFormat="false" ht="39.75" hidden="false" customHeight="true" outlineLevel="0" collapsed="false">
      <c r="A21" s="71"/>
      <c r="B21" s="8"/>
      <c r="C21" s="8"/>
      <c r="D21" s="8"/>
      <c r="E21" s="8"/>
      <c r="F21" s="8"/>
      <c r="G21" s="8"/>
      <c r="H21" s="8"/>
      <c r="I21" s="9"/>
      <c r="J21" s="72"/>
    </row>
    <row r="22" customFormat="false" ht="39.75" hidden="false" customHeight="true" outlineLevel="0" collapsed="false">
      <c r="A22" s="71"/>
      <c r="B22" s="10"/>
      <c r="C22" s="10"/>
      <c r="D22" s="10"/>
      <c r="E22" s="10"/>
      <c r="F22" s="10"/>
      <c r="G22" s="10"/>
      <c r="H22" s="10"/>
      <c r="I22" s="9"/>
      <c r="J22" s="72"/>
    </row>
    <row r="23" customFormat="false" ht="39.75" hidden="false" customHeight="true" outlineLevel="0" collapsed="false">
      <c r="A23" s="71"/>
      <c r="B23" s="8"/>
      <c r="C23" s="8"/>
      <c r="D23" s="8"/>
      <c r="E23" s="8"/>
      <c r="F23" s="8"/>
      <c r="G23" s="8"/>
      <c r="H23" s="8"/>
      <c r="I23" s="9"/>
      <c r="J23" s="72"/>
    </row>
    <row r="24" customFormat="false" ht="39.75" hidden="false" customHeight="true" outlineLevel="0" collapsed="false">
      <c r="A24" s="71"/>
      <c r="B24" s="10"/>
      <c r="C24" s="10"/>
      <c r="D24" s="10"/>
      <c r="E24" s="10"/>
      <c r="F24" s="10"/>
      <c r="G24" s="10"/>
      <c r="H24" s="10"/>
      <c r="I24" s="9"/>
      <c r="J24" s="72"/>
    </row>
    <row r="27" customFormat="false" ht="18" hidden="false" customHeight="true" outlineLevel="0" collapsed="false">
      <c r="A27" s="41" t="s">
        <v>273</v>
      </c>
      <c r="B27" s="41"/>
      <c r="C27" s="41"/>
      <c r="D27" s="41"/>
      <c r="E27" s="41"/>
      <c r="F27" s="41"/>
      <c r="G27" s="41"/>
      <c r="H27" s="41"/>
      <c r="I27" s="41"/>
      <c r="J27" s="41"/>
    </row>
    <row r="28" customFormat="false" ht="30" hidden="false" customHeight="true" outlineLevel="0" collapsed="false">
      <c r="A28" s="73" t="s">
        <v>274</v>
      </c>
      <c r="B28" s="74" t="s">
        <v>275</v>
      </c>
      <c r="C28" s="74"/>
      <c r="D28" s="74"/>
      <c r="E28" s="74"/>
      <c r="F28" s="74"/>
      <c r="G28" s="74"/>
      <c r="H28" s="74"/>
      <c r="I28" s="74"/>
      <c r="J28" s="74"/>
    </row>
    <row r="29" customFormat="false" ht="30" hidden="false" customHeight="true" outlineLevel="0" collapsed="false">
      <c r="A29" s="75" t="s">
        <v>276</v>
      </c>
      <c r="B29" s="76" t="s">
        <v>277</v>
      </c>
      <c r="C29" s="76"/>
      <c r="D29" s="76"/>
      <c r="E29" s="76"/>
      <c r="F29" s="76"/>
      <c r="G29" s="76"/>
      <c r="H29" s="76"/>
      <c r="I29" s="76"/>
      <c r="J29" s="76"/>
    </row>
    <row r="30" customFormat="false" ht="30" hidden="false" customHeight="true" outlineLevel="0" collapsed="false">
      <c r="A30" s="77" t="s">
        <v>278</v>
      </c>
      <c r="B30" s="78" t="s">
        <v>279</v>
      </c>
      <c r="C30" s="78"/>
      <c r="D30" s="78"/>
      <c r="E30" s="78"/>
      <c r="F30" s="78"/>
      <c r="G30" s="78"/>
      <c r="H30" s="78"/>
      <c r="I30" s="78"/>
      <c r="J30" s="78"/>
    </row>
  </sheetData>
  <mergeCells count="6">
    <mergeCell ref="A1:J1"/>
    <mergeCell ref="A2:J2"/>
    <mergeCell ref="A27:J27"/>
    <mergeCell ref="B28:J28"/>
    <mergeCell ref="B29:J29"/>
    <mergeCell ref="B30:J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2026-04-16T17:14:05Z</dcterms:created>
  <dc:creator>openpyxl</dc:creator>
  <dc:description/>
  <dc:language>en-US</dc:language>
  <cp:lastModifiedBy>Tiberi, Fabio</cp:lastModifiedBy>
  <dcterms:modified xsi:type="dcterms:W3CDTF">2026-05-05T08:55:06Z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