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fabio.tiberi/.claude/skills/gara-bid-estimator/assets/"/>
    </mc:Choice>
  </mc:AlternateContent>
  <xr:revisionPtr revIDLastSave="0" documentId="13_ncr:1_{42130593-B297-274D-B572-2E008D91F129}" xr6:coauthVersionLast="47" xr6:coauthVersionMax="47" xr10:uidLastSave="{00000000-0000-0000-0000-000000000000}"/>
  <bookViews>
    <workbookView xWindow="-29100" yWindow="520" windowWidth="34560" windowHeight="20180" tabRatio="500" xr2:uid="{00000000-000D-0000-FFFF-FFFF00000000}"/>
  </bookViews>
  <sheets>
    <sheet name="Summary" sheetId="1" r:id="rId1"/>
    <sheet name="Requirements &amp; Solution Mapping" sheetId="2" r:id="rId2"/>
    <sheet name="Assumptions &amp; Risks" sheetId="4" r:id="rId3"/>
  </sheets>
  <definedNames>
    <definedName name="_xlnm._FilterDatabase" localSheetId="1" hidden="1">'Requirements &amp; Solution Mapping'!$A$3:$L$20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H21" i="2"/>
  <c r="G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21" i="2" l="1"/>
  <c r="B16" i="1" s="1"/>
  <c r="B19" i="1" s="1"/>
  <c r="D19" i="1" s="1"/>
  <c r="B17" i="1" l="1"/>
  <c r="B18" i="1"/>
  <c r="D18" i="1" s="1"/>
  <c r="B15" i="1"/>
  <c r="D16" i="1"/>
  <c r="B20" i="1"/>
  <c r="D20" i="1" s="1"/>
  <c r="D17" i="1"/>
  <c r="B24" i="1" l="1"/>
  <c r="D15" i="1"/>
  <c r="D24" i="1" s="1"/>
  <c r="E16" i="1"/>
  <c r="E18" i="1"/>
  <c r="E19" i="1"/>
  <c r="E20" i="1"/>
  <c r="E15" i="1"/>
  <c r="E23" i="1"/>
  <c r="E22" i="1"/>
  <c r="E21" i="1"/>
  <c r="D25" i="1"/>
  <c r="C24" i="1" l="1"/>
  <c r="D26" i="1"/>
  <c r="D27" i="1" s="1"/>
  <c r="E17" i="1"/>
  <c r="E24" i="1" s="1"/>
</calcChain>
</file>

<file path=xl/sharedStrings.xml><?xml version="1.0" encoding="utf-8"?>
<sst xmlns="http://schemas.openxmlformats.org/spreadsheetml/2006/main" count="234" uniqueCount="207">
  <si>
    <t>DOCUMENTO DI STIMA — SOLUTION DESIGN PRELIMINARE</t>
  </si>
  <si>
    <t>Strumento di Stima per Gare d'Appalto IT | Template PMO/Solution Architect</t>
  </si>
  <si>
    <t>DATI DI PROGETTO</t>
  </si>
  <si>
    <t>Nome Gara / Progetto:</t>
  </si>
  <si>
    <t>Scadenza Offerta:</t>
  </si>
  <si>
    <t>Cliente:</t>
  </si>
  <si>
    <t>Referente Cliente:</t>
  </si>
  <si>
    <t>Referente Interno:</t>
  </si>
  <si>
    <t>Budget Indicativo (€):</t>
  </si>
  <si>
    <t>Data Elaborazione:</t>
  </si>
  <si>
    <t>Durata Stimata (mesi):</t>
  </si>
  <si>
    <t>Versione:</t>
  </si>
  <si>
    <t>v1.0</t>
  </si>
  <si>
    <t>Tipologia Appalto:</t>
  </si>
  <si>
    <t>Stato:</t>
  </si>
  <si>
    <t>BOZZA</t>
  </si>
  <si>
    <t>Codice Gara:</t>
  </si>
  <si>
    <t>RIEPILOGO ECONOMICO</t>
  </si>
  <si>
    <t>FASE</t>
  </si>
  <si>
    <t>GG/U TOTALI</t>
  </si>
  <si>
    <t>TARIFFA MEDIA (€)</t>
  </si>
  <si>
    <t>COSTO FASE (€)</t>
  </si>
  <si>
    <t>% SUL TOTALE</t>
  </si>
  <si>
    <t>Design</t>
  </si>
  <si>
    <t>Build</t>
  </si>
  <si>
    <t>Test &amp; QA</t>
  </si>
  <si>
    <t>Deploy &amp; Go-Live</t>
  </si>
  <si>
    <t>PMO &amp; Governance</t>
  </si>
  <si>
    <t>TOTALE PROGETTO</t>
  </si>
  <si>
    <t>MATRICE DI TRACCIABILITÀ — REQUISITI vs SOLUZIONE</t>
  </si>
  <si>
    <t>Compilare per ogni requisito estratto dal bando. Il campo 'Complessità' usa dropdown.</t>
  </si>
  <si>
    <t>ID Req.</t>
  </si>
  <si>
    <t>Area Funzionale</t>
  </si>
  <si>
    <t>Descrizione Bando</t>
  </si>
  <si>
    <t>Soluzione Proposta</t>
  </si>
  <si>
    <t>Componente Tecnica</t>
  </si>
  <si>
    <t>Complessità</t>
  </si>
  <si>
    <t>GG/U Front End</t>
  </si>
  <si>
    <t>GG/U Back End</t>
  </si>
  <si>
    <t>GG/U Data &amp; AI</t>
  </si>
  <si>
    <t>GG/U TOTALE</t>
  </si>
  <si>
    <t>Priorità</t>
  </si>
  <si>
    <t>Note / Assunzioni</t>
  </si>
  <si>
    <t>REQ-001</t>
  </si>
  <si>
    <t>Autenticazione &amp; IAM</t>
  </si>
  <si>
    <t>Il sistema deve supportare autenticazione SSO con provider SAML 2.0 e gestione profili utente multi-ruolo</t>
  </si>
  <si>
    <t>Integrazione con Identity Provider via SAML 2.0 / OAuth 2.0. Implementazione RBAC su API Gateway</t>
  </si>
  <si>
    <t>Keycloak / Azure AD B2C + API Gateway</t>
  </si>
  <si>
    <t>Alta</t>
  </si>
  <si>
    <t>Verificare IdP esistente del cliente</t>
  </si>
  <si>
    <t>REQ-002</t>
  </si>
  <si>
    <t>Gestione Documenti</t>
  </si>
  <si>
    <t>Archiviazione e ricerca full-text di documenti strutturati e non strutturati con retention policy</t>
  </si>
  <si>
    <t>Document Management System con indice Elasticsearch + storage S3-compatible</t>
  </si>
  <si>
    <t>ECM Module + ElasticSearch + MinIO</t>
  </si>
  <si>
    <t>Media</t>
  </si>
  <si>
    <t>Volumetria documenti da verificare — Assunzione: &lt;500k doc/anno</t>
  </si>
  <si>
    <t>REQ-003</t>
  </si>
  <si>
    <t>Cruscotto Analytics</t>
  </si>
  <si>
    <t>Dashboard real-time KPI operativi con drill-down su dati storici (ultimi 36 mesi)</t>
  </si>
  <si>
    <t>Layer BI su data warehouse. Report con filtri interattivi e export PDF/Excel</t>
  </si>
  <si>
    <t>PowerBI Embedded / Apache Superset + DWH</t>
  </si>
  <si>
    <t>Definire KPI con il cliente in fase di Discovery</t>
  </si>
  <si>
    <t>REQ-004</t>
  </si>
  <si>
    <t>Integrazione Sistemi Legacy</t>
  </si>
  <si>
    <t>Interoperabilità con sistema ERP esistente (SAP ECC 6.0) per scambio dati ordini/fatture</t>
  </si>
  <si>
    <t>Integration layer ESB con adapter SAP RFC/BAPI. Mapping dati e orchestrazione via middleware</t>
  </si>
  <si>
    <t>MuleSoft / Apache Camel + SAP Connector</t>
  </si>
  <si>
    <t>Disponibilità RFC SAP da verificare. SLA interfaccia: Assunzione da verificare</t>
  </si>
  <si>
    <t>REQ-005</t>
  </si>
  <si>
    <t>Notifiche &amp; Comunicazioni</t>
  </si>
  <si>
    <t>Sistema di notifiche multicanale (email, SMS, push) basato su eventi di business</t>
  </si>
  <si>
    <t>Event-driven notification service. Template engine per comunicazioni personalizzate</t>
  </si>
  <si>
    <t>Apache Kafka + Notification Service + SendGrid</t>
  </si>
  <si>
    <t>Bassa</t>
  </si>
  <si>
    <t>Fornitore SMS da concordare con cliente</t>
  </si>
  <si>
    <t>REQ-006</t>
  </si>
  <si>
    <t>REQ-007</t>
  </si>
  <si>
    <t>REQ-008</t>
  </si>
  <si>
    <t>REQ-009</t>
  </si>
  <si>
    <t>REQ-010</t>
  </si>
  <si>
    <t>REQ-011</t>
  </si>
  <si>
    <t>REQ-012</t>
  </si>
  <si>
    <t>REQ-013</t>
  </si>
  <si>
    <t>REQ-014</t>
  </si>
  <si>
    <t>REQ-015</t>
  </si>
  <si>
    <t>REQ-016</t>
  </si>
  <si>
    <t>TOTALE GG/U DA REQUIREMENTS</t>
  </si>
  <si>
    <t>Data Engineer</t>
  </si>
  <si>
    <t>Note</t>
  </si>
  <si>
    <t>REGISTRO ASSUNZIONI E RISCHI DI PROGETTO</t>
  </si>
  <si>
    <t>SEZIONE A — ASSUNZIONI ALLA BASE DELLA STIMA</t>
  </si>
  <si>
    <t>ID</t>
  </si>
  <si>
    <t>Categoria</t>
  </si>
  <si>
    <t>Descrizione Assunzione</t>
  </si>
  <si>
    <t>Impatto sulla Stima</t>
  </si>
  <si>
    <t>Stato</t>
  </si>
  <si>
    <t>Da Verificare con</t>
  </si>
  <si>
    <t>Scadenza Verifica</t>
  </si>
  <si>
    <t>A-001</t>
  </si>
  <si>
    <t>Ambienti</t>
  </si>
  <si>
    <t>Gli ambienti cloud (Dev/Test/Prod) saranno disponibili entro la fine della fase di Design</t>
  </si>
  <si>
    <t>Alto: ritardo disponibilità ambienti causa slittamento Build di 2-3 settimane</t>
  </si>
  <si>
    <t>Da verificare</t>
  </si>
  <si>
    <t>Infrastructure Lead / Cliente</t>
  </si>
  <si>
    <t>Prima del kick-off</t>
  </si>
  <si>
    <t>Verificare contratto cloud e ownership</t>
  </si>
  <si>
    <t>A-002</t>
  </si>
  <si>
    <t>Integrazioni</t>
  </si>
  <si>
    <t>Le API dei sistemi legacy sono documentate e rispettano standard REST/SOAP. Tempo risposta &lt; 500ms</t>
  </si>
  <si>
    <t>Alto: API non documentate richiedono 5-10 GG/U aggiuntivi per reverse engineering</t>
  </si>
  <si>
    <t>Referente tecnico cliente</t>
  </si>
  <si>
    <t>Fase Discovery</t>
  </si>
  <si>
    <t>Richiedere documentazione tecnica in fase di gara</t>
  </si>
  <si>
    <t>A-003</t>
  </si>
  <si>
    <t>Dati</t>
  </si>
  <si>
    <t>La qualità dei dati da migrare è ≥ 80% (no deduplicazione massiva richiesta). Volume &lt; 1TB</t>
  </si>
  <si>
    <t>Medio: bassa qualità dati aumenta effort ETL del 30-50%</t>
  </si>
  <si>
    <t>Assunzione</t>
  </si>
  <si>
    <t>Data Owner Cliente</t>
  </si>
  <si>
    <t>Eseguire data profiling nella prima settimana</t>
  </si>
  <si>
    <t>A-004</t>
  </si>
  <si>
    <t>Risorse Cliente</t>
  </si>
  <si>
    <t>Il cliente garantisce disponibilità di 1 referente funzionale e 1 tecnico per almeno 2 gg/settimana</t>
  </si>
  <si>
    <t>Alto: mancanza presidio cliente blocca validazioni e decisioni</t>
  </si>
  <si>
    <t>PMO Cliente</t>
  </si>
  <si>
    <t>Kick-off</t>
  </si>
  <si>
    <t>Includere clausola SLA nel contratto</t>
  </si>
  <si>
    <t>A-005</t>
  </si>
  <si>
    <t>Tecnologia</t>
  </si>
  <si>
    <t>Lo stack tecnologico proposto (cloud-native, microservizi) è approvabile dal cliente senza restrizioni normative</t>
  </si>
  <si>
    <t>Medio: vincoli normativi o policy IT possono richiedere redesign architetturale</t>
  </si>
  <si>
    <t>CTO / CISO Cliente</t>
  </si>
  <si>
    <t>Fase Design</t>
  </si>
  <si>
    <t>Verificare compliance GDPR e data residency</t>
  </si>
  <si>
    <t>A-006</t>
  </si>
  <si>
    <t>Sicurezza</t>
  </si>
  <si>
    <t>Non è richiesto un assessment di sicurezza certificato (VAPT esterno) — incluso interno</t>
  </si>
  <si>
    <t>Basso: se richiesto VAPT esterno certificato, aggiungere 10-15 GG/U + costi terzi</t>
  </si>
  <si>
    <t>Security Officer</t>
  </si>
  <si>
    <t>Prima offerta</t>
  </si>
  <si>
    <t>Verificare nel capitolato tecnico</t>
  </si>
  <si>
    <t>A-007</t>
  </si>
  <si>
    <t>PMO</t>
  </si>
  <si>
    <t>Il team proposto lavorerà in modalità ibrida (on-site 2 gg/settimana, remote il resto)</t>
  </si>
  <si>
    <t>Basso</t>
  </si>
  <si>
    <t>Confermata</t>
  </si>
  <si>
    <t>Contratto</t>
  </si>
  <si>
    <t>—</t>
  </si>
  <si>
    <t>Includere piano di lavoro nel contratto</t>
  </si>
  <si>
    <t>SEZIONE B — REGISTRO DEI RISCHI</t>
  </si>
  <si>
    <t>Descrizione Rischio</t>
  </si>
  <si>
    <t>Probabilità</t>
  </si>
  <si>
    <t>Impatto</t>
  </si>
  <si>
    <t>Score (P×I)</t>
  </si>
  <si>
    <t>Strategia di Mitigazione</t>
  </si>
  <si>
    <t>Owner</t>
  </si>
  <si>
    <t>R-001</t>
  </si>
  <si>
    <t>Tecnologico</t>
  </si>
  <si>
    <t>Complessità elevata dell'integrazione con sistemi legacy non documentati causa ritardi significativi</t>
  </si>
  <si>
    <t>Alta (3)</t>
  </si>
  <si>
    <t>Alto (3)</t>
  </si>
  <si>
    <t>9 — CRITICO</t>
  </si>
  <si>
    <t>Eseguire spike tecnico nelle prime 2 settimane. Prevedere buffer del 20% sull'effort integrazione</t>
  </si>
  <si>
    <t>Tech Lead</t>
  </si>
  <si>
    <t>R-002</t>
  </si>
  <si>
    <t>Risorse</t>
  </si>
  <si>
    <t>Turnover o indisponibilità di profili chiave (Architect, Tech Lead) durante il progetto</t>
  </si>
  <si>
    <t>Media (2)</t>
  </si>
  <si>
    <t>6 — ALTO</t>
  </si>
  <si>
    <t>Knowledge sharing obbligatorio, documentazione continua, backup profile identificati</t>
  </si>
  <si>
    <t>HR / PM</t>
  </si>
  <si>
    <t>R-003</t>
  </si>
  <si>
    <t>Scope</t>
  </si>
  <si>
    <t>Richieste di change non gestite (scope creep) aumentano effort oltre il budget</t>
  </si>
  <si>
    <t>Medio (2)</t>
  </si>
  <si>
    <t>Processo formale di Change Request con impact assessment e approvazione. Backlog gestito</t>
  </si>
  <si>
    <t>PM / PMO</t>
  </si>
  <si>
    <t>R-004</t>
  </si>
  <si>
    <t>Qualità dei dati sorgente inferiore alle aspettative richiede effort massivo di data cleansing</t>
  </si>
  <si>
    <t>Data profiling nella fase Discovery. Definire criteri accettazione dati nel contratto</t>
  </si>
  <si>
    <t>R-005</t>
  </si>
  <si>
    <t>Tempi</t>
  </si>
  <si>
    <t>Dipendenze esterne (approvazioni cliente, ambienti, forniture) ritardano milestone critiche</t>
  </si>
  <si>
    <t>4 — MEDIO</t>
  </si>
  <si>
    <t>Piano di progetto con buffer espliciti. Escalation path definito e comunicato a steering</t>
  </si>
  <si>
    <t>PM</t>
  </si>
  <si>
    <t>R-006</t>
  </si>
  <si>
    <t>Vulnerabilità scoperte durante VAPT richiedono rework significativo del codice</t>
  </si>
  <si>
    <t>Bassa (1)</t>
  </si>
  <si>
    <t>3 — MEDIO</t>
  </si>
  <si>
    <t>Secure coding practices fin dalla fase Build. OWASP Top10 checklist. Code review sistematica</t>
  </si>
  <si>
    <t>Sec Engineer</t>
  </si>
  <si>
    <t>R-007</t>
  </si>
  <si>
    <t>Vendor</t>
  </si>
  <si>
    <t>Dipendenza da vendor terzi (licenze, supporto) per componenti critici della soluzione</t>
  </si>
  <si>
    <t>2 — BASSO</t>
  </si>
  <si>
    <t>Valutare alternative open source. Includere SLA vendor nei contratti di fornitura</t>
  </si>
  <si>
    <t>Architect</t>
  </si>
  <si>
    <t>Infrastruttura e DevOps</t>
  </si>
  <si>
    <t>Test Accessibilità</t>
  </si>
  <si>
    <t>NA</t>
  </si>
  <si>
    <t>Test Sicurezza</t>
  </si>
  <si>
    <t>Test Performance</t>
  </si>
  <si>
    <t>Contingency (20%)</t>
  </si>
  <si>
    <t>Totale</t>
  </si>
  <si>
    <t>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</si>
</sst>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€&quot;"/>
    <numFmt numFmtId="165" formatCode="0.0%"/>
  </numFmts>
  <fonts count="13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10"/>
      <color rgb="FF808080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i/>
      <sz val="9"/>
      <color rgb="FF808080"/>
      <name val="Arial"/>
      <family val="2"/>
    </font>
    <font>
      <b/>
      <sz val="10"/>
      <color rgb="FFC00000"/>
      <name val="Arial"/>
      <family val="2"/>
    </font>
    <font>
      <b/>
      <sz val="10"/>
      <color rgb="FF7F6000"/>
      <name val="Arial"/>
      <family val="2"/>
    </font>
    <font>
      <b/>
      <sz val="10"/>
      <color rgb="FF375623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F2F2F2"/>
        <bgColor rgb="FFEBF3FB"/>
      </patternFill>
    </fill>
    <fill>
      <patternFill patternType="solid">
        <fgColor rgb="FF2E5FA3"/>
        <bgColor rgb="FF2572B6"/>
      </patternFill>
    </fill>
    <fill>
      <patternFill patternType="solid">
        <fgColor rgb="FFFFFFFF"/>
        <bgColor rgb="FFF9F9F9"/>
      </patternFill>
    </fill>
    <fill>
      <patternFill patternType="solid">
        <fgColor rgb="FFFCE4D6"/>
        <bgColor rgb="FFFFF2CC"/>
      </patternFill>
    </fill>
    <fill>
      <patternFill patternType="solid">
        <fgColor rgb="FFD6E4F0"/>
        <bgColor rgb="FFD6DCE4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EEBF7"/>
      </patternFill>
    </fill>
    <fill>
      <patternFill patternType="solid">
        <fgColor rgb="FFC00000"/>
        <bgColor rgb="FF800000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3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3" fontId="5" fillId="3" borderId="2" xfId="0" applyNumberFormat="1" applyFont="1" applyFill="1" applyBorder="1" applyAlignment="1">
      <alignment horizontal="center" vertical="center"/>
    </xf>
    <xf numFmtId="164" fontId="5" fillId="3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3" fontId="5" fillId="5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165" fontId="7" fillId="2" borderId="2" xfId="0" applyNumberFormat="1" applyFont="1" applyFill="1" applyBorder="1" applyAlignment="1">
      <alignment horizontal="center" vertical="center"/>
    </xf>
    <xf numFmtId="0" fontId="0" fillId="0" borderId="3" xfId="0" applyBorder="1"/>
    <xf numFmtId="0" fontId="7" fillId="2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center" vertical="center"/>
    </xf>
    <xf numFmtId="3" fontId="4" fillId="7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wrapText="1"/>
    </xf>
    <xf numFmtId="0" fontId="11" fillId="8" borderId="2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3" fontId="4" fillId="3" borderId="2" xfId="0" applyNumberFormat="1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10" fontId="5" fillId="5" borderId="2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2E75B6"/>
      <rgbColor rgb="FFBFBFBF"/>
      <rgbColor rgb="FF808080"/>
      <rgbColor rgb="FF9999FF"/>
      <rgbColor rgb="FF993366"/>
      <rgbColor rgb="FFFFF2CC"/>
      <rgbColor rgb="FFDEEBF7"/>
      <rgbColor rgb="FF660066"/>
      <rgbColor rgb="FFFF8080"/>
      <rgbColor rgb="FF2572B6"/>
      <rgbColor rgb="FFD6DCE4"/>
      <rgbColor rgb="FF000080"/>
      <rgbColor rgb="FFFF00FF"/>
      <rgbColor rgb="FFFFFF00"/>
      <rgbColor rgb="FF00FFFF"/>
      <rgbColor rgb="FF800080"/>
      <rgbColor rgb="FF800000"/>
      <rgbColor rgb="FF2E5FA3"/>
      <rgbColor rgb="FF0000FF"/>
      <rgbColor rgb="FF00CCFF"/>
      <rgbColor rgb="FFEBF3FB"/>
      <rgbColor rgb="FFE2EFDA"/>
      <rgbColor rgb="FFF2F2F2"/>
      <rgbColor rgb="FFD6E4F0"/>
      <rgbColor rgb="FFF9F9F9"/>
      <rgbColor rgb="FFD9D9D9"/>
      <rgbColor rgb="FFFCE4D6"/>
      <rgbColor rgb="FF4472C4"/>
      <rgbColor rgb="FF33CCCC"/>
      <rgbColor rgb="FF99CC00"/>
      <rgbColor rgb="FFFFCC00"/>
      <rgbColor rgb="FFFF9900"/>
      <rgbColor rgb="FFED7D31"/>
      <rgbColor rgb="FF4F81BD"/>
      <rgbColor rgb="FFA5A5A5"/>
      <rgbColor rgb="FF1F3864"/>
      <rgbColor rgb="FF70AD47"/>
      <rgbColor rgb="FF003300"/>
      <rgbColor rgb="FF333300"/>
      <rgbColor rgb="FF993300"/>
      <rgbColor rgb="FF993366"/>
      <rgbColor rgb="FF44546A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showGridLines="0" tabSelected="1" zoomScaleNormal="100" workbookViewId="0">
      <pane ySplit="2" topLeftCell="A11" activePane="bottomLeft" state="frozen"/>
      <selection pane="bottomLeft" activeCell="B21" sqref="B21"/>
    </sheetView>
  </sheetViews>
  <sheetFormatPr baseColWidth="10" defaultColWidth="8.6640625" defaultRowHeight="15" x14ac:dyDescent="0.2"/>
  <cols>
    <col min="1" max="1" width="28" customWidth="1"/>
    <col min="2" max="2" width="14" customWidth="1"/>
    <col min="3" max="4" width="18" customWidth="1"/>
    <col min="5" max="5" width="22.33203125" customWidth="1"/>
    <col min="6" max="6" width="22" customWidth="1"/>
    <col min="7" max="7" width="18" customWidth="1"/>
    <col min="8" max="8" width="16" customWidth="1"/>
  </cols>
  <sheetData>
    <row r="1" spans="1:8" ht="36" customHeight="1" x14ac:dyDescent="0.2">
      <c r="A1" s="33" t="s">
        <v>0</v>
      </c>
      <c r="B1" s="33"/>
      <c r="C1" s="33"/>
      <c r="D1" s="33"/>
      <c r="E1" s="33"/>
      <c r="F1" s="33"/>
      <c r="G1" s="33"/>
      <c r="H1" s="33"/>
    </row>
    <row r="2" spans="1:8" ht="18" customHeight="1" x14ac:dyDescent="0.2">
      <c r="A2" s="34" t="s">
        <v>1</v>
      </c>
      <c r="B2" s="34"/>
      <c r="C2" s="34"/>
      <c r="D2" s="34"/>
      <c r="E2" s="34"/>
      <c r="F2" s="34"/>
      <c r="G2" s="34"/>
      <c r="H2" s="34"/>
    </row>
    <row r="4" spans="1:8" ht="15" customHeight="1" x14ac:dyDescent="0.2">
      <c r="A4" s="35" t="s">
        <v>2</v>
      </c>
      <c r="B4" s="35"/>
      <c r="C4" s="35"/>
      <c r="D4" s="35"/>
      <c r="E4" s="35"/>
      <c r="F4" s="35"/>
      <c r="G4" s="35"/>
      <c r="H4" s="35"/>
    </row>
    <row r="5" spans="1:8" ht="15" customHeight="1" x14ac:dyDescent="0.2">
      <c r="A5" s="1" t="s">
        <v>3</v>
      </c>
      <c r="B5" s="36"/>
      <c r="C5" s="36"/>
      <c r="D5" s="36"/>
      <c r="E5" s="1" t="s">
        <v>4</v>
      </c>
      <c r="F5" s="36"/>
      <c r="G5" s="36"/>
      <c r="H5" s="36"/>
    </row>
    <row r="6" spans="1:8" ht="15" customHeight="1" x14ac:dyDescent="0.2">
      <c r="A6" s="1" t="s">
        <v>5</v>
      </c>
      <c r="B6" s="36"/>
      <c r="C6" s="36"/>
      <c r="D6" s="36"/>
      <c r="E6" s="1" t="s">
        <v>6</v>
      </c>
      <c r="F6" s="36"/>
      <c r="G6" s="36"/>
      <c r="H6" s="36"/>
    </row>
    <row r="7" spans="1:8" ht="15" customHeight="1" x14ac:dyDescent="0.2">
      <c r="A7" s="1" t="s">
        <v>7</v>
      </c>
      <c r="B7" s="36"/>
      <c r="C7" s="36"/>
      <c r="D7" s="36"/>
      <c r="E7" s="1" t="s">
        <v>8</v>
      </c>
      <c r="F7" s="36"/>
      <c r="G7" s="36"/>
      <c r="H7" s="36"/>
    </row>
    <row r="8" spans="1:8" ht="15" customHeight="1" x14ac:dyDescent="0.2">
      <c r="A8" s="1" t="s">
        <v>9</v>
      </c>
      <c r="B8" s="36"/>
      <c r="C8" s="36"/>
      <c r="D8" s="36"/>
      <c r="E8" s="1" t="s">
        <v>10</v>
      </c>
      <c r="F8" s="36"/>
      <c r="G8" s="36"/>
      <c r="H8" s="36"/>
    </row>
    <row r="9" spans="1:8" ht="15" customHeight="1" x14ac:dyDescent="0.2">
      <c r="A9" s="1" t="s">
        <v>11</v>
      </c>
      <c r="B9" s="36" t="s">
        <v>12</v>
      </c>
      <c r="C9" s="36"/>
      <c r="D9" s="36"/>
      <c r="E9" s="1" t="s">
        <v>13</v>
      </c>
      <c r="F9" s="36"/>
      <c r="G9" s="36"/>
      <c r="H9" s="36"/>
    </row>
    <row r="10" spans="1:8" ht="15" customHeight="1" x14ac:dyDescent="0.2">
      <c r="A10" s="1" t="s">
        <v>14</v>
      </c>
      <c r="B10" s="37" t="s">
        <v>15</v>
      </c>
      <c r="C10" s="37"/>
      <c r="D10" s="37"/>
      <c r="E10" s="1" t="s">
        <v>16</v>
      </c>
      <c r="F10" s="36"/>
      <c r="G10" s="36"/>
      <c r="H10" s="36"/>
    </row>
    <row r="12" spans="1:8" ht="6" customHeight="1" x14ac:dyDescent="0.2"/>
    <row r="13" spans="1:8" ht="15" customHeight="1" x14ac:dyDescent="0.2">
      <c r="A13" s="35" t="s">
        <v>17</v>
      </c>
      <c r="B13" s="35"/>
      <c r="C13" s="35"/>
      <c r="D13" s="35"/>
      <c r="E13" s="35"/>
      <c r="F13" s="35"/>
      <c r="G13" s="35"/>
      <c r="H13" s="35"/>
    </row>
    <row r="14" spans="1:8" ht="15" customHeight="1" x14ac:dyDescent="0.2">
      <c r="A14" s="2" t="s">
        <v>18</v>
      </c>
      <c r="B14" s="2" t="s">
        <v>19</v>
      </c>
      <c r="C14" s="2" t="s">
        <v>20</v>
      </c>
      <c r="D14" s="2" t="s">
        <v>21</v>
      </c>
      <c r="E14" s="2" t="s">
        <v>22</v>
      </c>
    </row>
    <row r="15" spans="1:8" ht="15" customHeight="1" x14ac:dyDescent="0.2">
      <c r="A15" s="6" t="s">
        <v>23</v>
      </c>
      <c r="B15" s="7">
        <f>B16*25%</f>
        <v>12.5</v>
      </c>
      <c r="C15" s="8">
        <v>400</v>
      </c>
      <c r="D15" s="8">
        <f t="shared" ref="D15:D20" si="0">B15*C15</f>
        <v>5000</v>
      </c>
      <c r="E15" s="27">
        <f>IFERROR(D15/SUM($D$15:$D$23),0)</f>
        <v>4.3497172683775558E-2</v>
      </c>
    </row>
    <row r="16" spans="1:8" ht="15" customHeight="1" x14ac:dyDescent="0.2">
      <c r="A16" s="3" t="s">
        <v>24</v>
      </c>
      <c r="B16" s="4">
        <f>'Requirements &amp; Solution Mapping'!J21</f>
        <v>50</v>
      </c>
      <c r="C16" s="5">
        <v>300</v>
      </c>
      <c r="D16" s="5">
        <f t="shared" si="0"/>
        <v>15000</v>
      </c>
      <c r="E16" s="27">
        <f t="shared" ref="E16:E23" si="1">IFERROR(D16/SUM($D$15:$D$23),0)</f>
        <v>0.13049151805132667</v>
      </c>
    </row>
    <row r="17" spans="1:5" ht="15" customHeight="1" x14ac:dyDescent="0.2">
      <c r="A17" s="6" t="s">
        <v>25</v>
      </c>
      <c r="B17" s="7">
        <f>B16*25%</f>
        <v>12.5</v>
      </c>
      <c r="C17" s="8">
        <v>400</v>
      </c>
      <c r="D17" s="8">
        <f t="shared" ref="D17:D19" si="2">B17*C17</f>
        <v>5000</v>
      </c>
      <c r="E17" s="27">
        <f t="shared" si="1"/>
        <v>4.3497172683775558E-2</v>
      </c>
    </row>
    <row r="18" spans="1:5" ht="15" customHeight="1" x14ac:dyDescent="0.2">
      <c r="A18" s="3" t="s">
        <v>26</v>
      </c>
      <c r="B18" s="4">
        <f>B16*3%</f>
        <v>1.5</v>
      </c>
      <c r="C18" s="5">
        <v>300</v>
      </c>
      <c r="D18" s="5">
        <f t="shared" si="2"/>
        <v>450</v>
      </c>
      <c r="E18" s="27">
        <f t="shared" si="1"/>
        <v>3.9147455415397998E-3</v>
      </c>
    </row>
    <row r="19" spans="1:5" ht="15" customHeight="1" x14ac:dyDescent="0.2">
      <c r="A19" s="6" t="s">
        <v>27</v>
      </c>
      <c r="B19" s="7">
        <f>B16*10%</f>
        <v>5</v>
      </c>
      <c r="C19" s="8">
        <v>500</v>
      </c>
      <c r="D19" s="8">
        <f t="shared" si="2"/>
        <v>2500</v>
      </c>
      <c r="E19" s="27">
        <f t="shared" si="1"/>
        <v>2.1748586341887779E-2</v>
      </c>
    </row>
    <row r="20" spans="1:5" ht="15" customHeight="1" x14ac:dyDescent="0.2">
      <c r="A20" s="6" t="s">
        <v>199</v>
      </c>
      <c r="B20" s="7">
        <f>B16*60%</f>
        <v>30</v>
      </c>
      <c r="C20" s="8">
        <v>400</v>
      </c>
      <c r="D20" s="8">
        <f t="shared" si="0"/>
        <v>12000</v>
      </c>
      <c r="E20" s="27">
        <f t="shared" si="1"/>
        <v>0.10439321444106132</v>
      </c>
    </row>
    <row r="21" spans="1:5" ht="15" customHeight="1" x14ac:dyDescent="0.2">
      <c r="A21" s="3" t="s">
        <v>200</v>
      </c>
      <c r="B21" s="4" t="s">
        <v>201</v>
      </c>
      <c r="C21" s="5" t="s">
        <v>201</v>
      </c>
      <c r="D21" s="5">
        <v>10000</v>
      </c>
      <c r="E21" s="27">
        <f t="shared" si="1"/>
        <v>8.6994345367551115E-2</v>
      </c>
    </row>
    <row r="22" spans="1:5" ht="15" customHeight="1" x14ac:dyDescent="0.2">
      <c r="A22" s="6" t="s">
        <v>202</v>
      </c>
      <c r="B22" s="4" t="s">
        <v>201</v>
      </c>
      <c r="C22" s="5" t="s">
        <v>201</v>
      </c>
      <c r="D22" s="5">
        <v>40000</v>
      </c>
      <c r="E22" s="27">
        <f t="shared" si="1"/>
        <v>0.34797738147020446</v>
      </c>
    </row>
    <row r="23" spans="1:5" ht="15" customHeight="1" x14ac:dyDescent="0.2">
      <c r="A23" s="6" t="s">
        <v>203</v>
      </c>
      <c r="B23" s="4" t="s">
        <v>201</v>
      </c>
      <c r="C23" s="5" t="s">
        <v>201</v>
      </c>
      <c r="D23" s="5">
        <v>25000</v>
      </c>
      <c r="E23" s="27">
        <f t="shared" si="1"/>
        <v>0.21748586341887777</v>
      </c>
    </row>
    <row r="24" spans="1:5" ht="15" customHeight="1" x14ac:dyDescent="0.2">
      <c r="A24" s="2" t="s">
        <v>28</v>
      </c>
      <c r="B24" s="9">
        <f>SUM(B15:B23)</f>
        <v>111.5</v>
      </c>
      <c r="C24" s="10">
        <f>IFERROR(D24/B24,0)</f>
        <v>1030.9417040358744</v>
      </c>
      <c r="D24" s="10">
        <f>SUM(D15:D23)</f>
        <v>114950</v>
      </c>
      <c r="E24" s="11">
        <f>SUM(E15:E23)</f>
        <v>1</v>
      </c>
    </row>
    <row r="25" spans="1:5" x14ac:dyDescent="0.2">
      <c r="C25" s="28" t="s">
        <v>204</v>
      </c>
      <c r="D25" s="29">
        <f>D24*20%</f>
        <v>22990</v>
      </c>
    </row>
    <row r="26" spans="1:5" x14ac:dyDescent="0.2">
      <c r="C26" s="28" t="s">
        <v>205</v>
      </c>
      <c r="D26" s="29">
        <f>SUM(D24:D25)</f>
        <v>137940</v>
      </c>
    </row>
    <row r="27" spans="1:5" x14ac:dyDescent="0.2">
      <c r="C27" s="28" t="s">
        <v>206</v>
      </c>
      <c r="D27" s="29">
        <f>D26*2</f>
        <v>275880</v>
      </c>
    </row>
  </sheetData>
  <mergeCells count="16">
    <mergeCell ref="B9:D9"/>
    <mergeCell ref="F9:H9"/>
    <mergeCell ref="B10:D10"/>
    <mergeCell ref="F10:H10"/>
    <mergeCell ref="A13:H13"/>
    <mergeCell ref="B6:D6"/>
    <mergeCell ref="F6:H6"/>
    <mergeCell ref="B7:D7"/>
    <mergeCell ref="F7:H7"/>
    <mergeCell ref="B8:D8"/>
    <mergeCell ref="F8:H8"/>
    <mergeCell ref="A1:H1"/>
    <mergeCell ref="A2:H2"/>
    <mergeCell ref="A4:H4"/>
    <mergeCell ref="B5:D5"/>
    <mergeCell ref="F5:H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"/>
  <sheetViews>
    <sheetView showGridLines="0" zoomScaleNormal="100" workbookViewId="0">
      <pane ySplit="3" topLeftCell="A4" activePane="bottomLeft" state="frozen"/>
      <selection pane="bottomLeft" activeCell="D31" sqref="D31"/>
    </sheetView>
  </sheetViews>
  <sheetFormatPr baseColWidth="10" defaultColWidth="8.6640625" defaultRowHeight="15" x14ac:dyDescent="0.2"/>
  <cols>
    <col min="1" max="1" width="8" customWidth="1"/>
    <col min="2" max="2" width="20" customWidth="1"/>
    <col min="3" max="3" width="30" customWidth="1"/>
    <col min="4" max="4" width="28" customWidth="1"/>
    <col min="5" max="5" width="25" customWidth="1"/>
    <col min="6" max="7" width="12" customWidth="1"/>
    <col min="8" max="9" width="13" customWidth="1"/>
    <col min="10" max="10" width="12" customWidth="1"/>
    <col min="11" max="11" width="16" customWidth="1"/>
    <col min="12" max="12" width="30" customWidth="1"/>
  </cols>
  <sheetData>
    <row r="1" spans="1:12" ht="31.5" customHeight="1" x14ac:dyDescent="0.2">
      <c r="A1" s="30" t="s">
        <v>29</v>
      </c>
      <c r="B1" s="30"/>
      <c r="C1" s="30"/>
      <c r="D1" s="30"/>
      <c r="E1" s="30"/>
      <c r="F1" s="30"/>
      <c r="G1" s="30"/>
      <c r="H1" s="30"/>
      <c r="I1" s="30"/>
      <c r="J1" s="12"/>
      <c r="K1" s="12"/>
    </row>
    <row r="2" spans="1:12" ht="15" customHeight="1" x14ac:dyDescent="0.2">
      <c r="A2" s="31" t="s">
        <v>30</v>
      </c>
      <c r="B2" s="31"/>
      <c r="C2" s="31"/>
      <c r="D2" s="31"/>
      <c r="E2" s="31"/>
      <c r="F2" s="31"/>
      <c r="G2" s="31"/>
      <c r="H2" s="31"/>
      <c r="I2" s="31"/>
      <c r="J2" s="12"/>
      <c r="K2" s="12"/>
    </row>
    <row r="3" spans="1:12" ht="23.25" customHeight="1" x14ac:dyDescent="0.2">
      <c r="A3" s="13" t="s">
        <v>31</v>
      </c>
      <c r="B3" s="13" t="s">
        <v>32</v>
      </c>
      <c r="C3" s="13" t="s">
        <v>33</v>
      </c>
      <c r="D3" s="13" t="s">
        <v>34</v>
      </c>
      <c r="E3" s="13" t="s">
        <v>35</v>
      </c>
      <c r="F3" s="13" t="s">
        <v>36</v>
      </c>
      <c r="G3" s="13" t="s">
        <v>37</v>
      </c>
      <c r="H3" s="13" t="s">
        <v>38</v>
      </c>
      <c r="I3" s="13" t="s">
        <v>39</v>
      </c>
      <c r="J3" s="13" t="s">
        <v>40</v>
      </c>
      <c r="K3" s="13" t="s">
        <v>41</v>
      </c>
      <c r="L3" s="13" t="s">
        <v>42</v>
      </c>
    </row>
    <row r="4" spans="1:12" ht="45.75" customHeight="1" x14ac:dyDescent="0.2">
      <c r="A4" s="14" t="s">
        <v>43</v>
      </c>
      <c r="B4" s="3" t="s">
        <v>44</v>
      </c>
      <c r="C4" s="15" t="s">
        <v>45</v>
      </c>
      <c r="D4" s="15" t="s">
        <v>46</v>
      </c>
      <c r="E4" s="15" t="s">
        <v>47</v>
      </c>
      <c r="F4" s="16" t="s">
        <v>48</v>
      </c>
      <c r="G4" s="4">
        <v>2</v>
      </c>
      <c r="H4" s="4">
        <v>5</v>
      </c>
      <c r="I4" s="4">
        <v>1</v>
      </c>
      <c r="J4" s="17">
        <f t="shared" ref="J4:J20" si="0">IFERROR(SUM(G4:I4),0)</f>
        <v>8</v>
      </c>
      <c r="K4" s="15" t="s">
        <v>49</v>
      </c>
    </row>
    <row r="5" spans="1:12" ht="34.5" customHeight="1" x14ac:dyDescent="0.2">
      <c r="A5" s="18" t="s">
        <v>50</v>
      </c>
      <c r="B5" s="6" t="s">
        <v>51</v>
      </c>
      <c r="C5" s="19" t="s">
        <v>52</v>
      </c>
      <c r="D5" s="19" t="s">
        <v>53</v>
      </c>
      <c r="E5" s="19" t="s">
        <v>54</v>
      </c>
      <c r="F5" s="20" t="s">
        <v>55</v>
      </c>
      <c r="G5" s="7">
        <v>3</v>
      </c>
      <c r="H5" s="7">
        <v>5</v>
      </c>
      <c r="I5" s="7">
        <v>4</v>
      </c>
      <c r="J5" s="17">
        <f t="shared" si="0"/>
        <v>12</v>
      </c>
      <c r="K5" s="19" t="s">
        <v>56</v>
      </c>
    </row>
    <row r="6" spans="1:12" ht="34.5" customHeight="1" x14ac:dyDescent="0.2">
      <c r="A6" s="14" t="s">
        <v>57</v>
      </c>
      <c r="B6" s="3" t="s">
        <v>58</v>
      </c>
      <c r="C6" s="15" t="s">
        <v>59</v>
      </c>
      <c r="D6" s="15" t="s">
        <v>60</v>
      </c>
      <c r="E6" s="15" t="s">
        <v>61</v>
      </c>
      <c r="F6" s="20" t="s">
        <v>55</v>
      </c>
      <c r="G6" s="4">
        <v>4</v>
      </c>
      <c r="H6" s="4">
        <v>2</v>
      </c>
      <c r="I6" s="4">
        <v>4</v>
      </c>
      <c r="J6" s="17">
        <f t="shared" si="0"/>
        <v>10</v>
      </c>
      <c r="K6" s="15" t="s">
        <v>62</v>
      </c>
    </row>
    <row r="7" spans="1:12" ht="34.5" customHeight="1" x14ac:dyDescent="0.2">
      <c r="A7" s="18" t="s">
        <v>63</v>
      </c>
      <c r="B7" s="6" t="s">
        <v>64</v>
      </c>
      <c r="C7" s="19" t="s">
        <v>65</v>
      </c>
      <c r="D7" s="19" t="s">
        <v>66</v>
      </c>
      <c r="E7" s="19" t="s">
        <v>67</v>
      </c>
      <c r="F7" s="16" t="s">
        <v>48</v>
      </c>
      <c r="G7" s="7">
        <v>1</v>
      </c>
      <c r="H7" s="7">
        <v>8</v>
      </c>
      <c r="I7" s="7">
        <v>6</v>
      </c>
      <c r="J7" s="17">
        <f t="shared" si="0"/>
        <v>15</v>
      </c>
      <c r="K7" s="19" t="s">
        <v>68</v>
      </c>
    </row>
    <row r="8" spans="1:12" ht="34.5" customHeight="1" x14ac:dyDescent="0.2">
      <c r="A8" s="14" t="s">
        <v>69</v>
      </c>
      <c r="B8" s="3" t="s">
        <v>70</v>
      </c>
      <c r="C8" s="15" t="s">
        <v>71</v>
      </c>
      <c r="D8" s="15" t="s">
        <v>72</v>
      </c>
      <c r="E8" s="15" t="s">
        <v>73</v>
      </c>
      <c r="F8" s="21" t="s">
        <v>74</v>
      </c>
      <c r="G8" s="4">
        <v>1</v>
      </c>
      <c r="H8" s="4">
        <v>3</v>
      </c>
      <c r="I8" s="4">
        <v>1</v>
      </c>
      <c r="J8" s="17">
        <f t="shared" si="0"/>
        <v>5</v>
      </c>
      <c r="K8" s="15" t="s">
        <v>75</v>
      </c>
    </row>
    <row r="9" spans="1:12" ht="15" customHeight="1" x14ac:dyDescent="0.2">
      <c r="A9" s="18" t="s">
        <v>76</v>
      </c>
      <c r="B9" s="19"/>
      <c r="C9" s="19"/>
      <c r="D9" s="19"/>
      <c r="E9" s="19"/>
      <c r="F9" s="19"/>
      <c r="G9" s="7"/>
      <c r="H9" s="7"/>
      <c r="I9" s="7"/>
      <c r="J9" s="22">
        <f t="shared" si="0"/>
        <v>0</v>
      </c>
      <c r="K9" s="19"/>
    </row>
    <row r="10" spans="1:12" ht="15" customHeight="1" x14ac:dyDescent="0.2">
      <c r="A10" s="14" t="s">
        <v>77</v>
      </c>
      <c r="B10" s="15"/>
      <c r="C10" s="15"/>
      <c r="D10" s="15"/>
      <c r="E10" s="15"/>
      <c r="F10" s="15"/>
      <c r="G10" s="4"/>
      <c r="H10" s="4"/>
      <c r="I10" s="4"/>
      <c r="J10" s="23">
        <f t="shared" si="0"/>
        <v>0</v>
      </c>
      <c r="K10" s="15"/>
    </row>
    <row r="11" spans="1:12" ht="15" customHeight="1" x14ac:dyDescent="0.2">
      <c r="A11" s="18" t="s">
        <v>78</v>
      </c>
      <c r="B11" s="19"/>
      <c r="C11" s="19"/>
      <c r="D11" s="19"/>
      <c r="E11" s="19"/>
      <c r="F11" s="19"/>
      <c r="G11" s="7"/>
      <c r="H11" s="7"/>
      <c r="I11" s="7"/>
      <c r="J11" s="22">
        <f t="shared" si="0"/>
        <v>0</v>
      </c>
      <c r="K11" s="19"/>
    </row>
    <row r="12" spans="1:12" ht="15" customHeight="1" x14ac:dyDescent="0.2">
      <c r="A12" s="14" t="s">
        <v>79</v>
      </c>
      <c r="B12" s="15"/>
      <c r="C12" s="15"/>
      <c r="D12" s="15"/>
      <c r="E12" s="15"/>
      <c r="F12" s="15"/>
      <c r="G12" s="4"/>
      <c r="H12" s="4"/>
      <c r="I12" s="4"/>
      <c r="J12" s="23">
        <f t="shared" si="0"/>
        <v>0</v>
      </c>
      <c r="K12" s="15"/>
    </row>
    <row r="13" spans="1:12" ht="15" customHeight="1" x14ac:dyDescent="0.2">
      <c r="A13" s="18" t="s">
        <v>80</v>
      </c>
      <c r="B13" s="19"/>
      <c r="C13" s="19"/>
      <c r="D13" s="19"/>
      <c r="E13" s="19"/>
      <c r="F13" s="19"/>
      <c r="G13" s="7"/>
      <c r="H13" s="7"/>
      <c r="I13" s="7"/>
      <c r="J13" s="22">
        <f t="shared" si="0"/>
        <v>0</v>
      </c>
      <c r="K13" s="19"/>
    </row>
    <row r="14" spans="1:12" ht="15" customHeight="1" x14ac:dyDescent="0.2">
      <c r="A14" s="14" t="s">
        <v>81</v>
      </c>
      <c r="B14" s="15"/>
      <c r="C14" s="15"/>
      <c r="D14" s="15"/>
      <c r="E14" s="15"/>
      <c r="F14" s="15"/>
      <c r="G14" s="4"/>
      <c r="H14" s="4"/>
      <c r="I14" s="4"/>
      <c r="J14" s="23">
        <f t="shared" si="0"/>
        <v>0</v>
      </c>
      <c r="K14" s="15"/>
    </row>
    <row r="15" spans="1:12" ht="15" customHeight="1" x14ac:dyDescent="0.2">
      <c r="A15" s="18" t="s">
        <v>82</v>
      </c>
      <c r="B15" s="19"/>
      <c r="C15" s="19"/>
      <c r="D15" s="19"/>
      <c r="E15" s="19"/>
      <c r="F15" s="19"/>
      <c r="G15" s="7"/>
      <c r="H15" s="7"/>
      <c r="I15" s="7"/>
      <c r="J15" s="22">
        <f t="shared" si="0"/>
        <v>0</v>
      </c>
      <c r="K15" s="19"/>
    </row>
    <row r="16" spans="1:12" ht="15" customHeight="1" x14ac:dyDescent="0.2">
      <c r="A16" s="14" t="s">
        <v>83</v>
      </c>
      <c r="B16" s="15"/>
      <c r="C16" s="15"/>
      <c r="D16" s="15"/>
      <c r="E16" s="15"/>
      <c r="F16" s="15"/>
      <c r="G16" s="4"/>
      <c r="H16" s="4"/>
      <c r="I16" s="4"/>
      <c r="J16" s="23">
        <f t="shared" si="0"/>
        <v>0</v>
      </c>
      <c r="K16" s="15"/>
    </row>
    <row r="17" spans="1:11" ht="15" customHeight="1" x14ac:dyDescent="0.2">
      <c r="A17" s="18" t="s">
        <v>84</v>
      </c>
      <c r="B17" s="19"/>
      <c r="C17" s="19"/>
      <c r="D17" s="19"/>
      <c r="E17" s="19"/>
      <c r="F17" s="19"/>
      <c r="G17" s="7"/>
      <c r="H17" s="7"/>
      <c r="I17" s="7"/>
      <c r="J17" s="22">
        <f t="shared" si="0"/>
        <v>0</v>
      </c>
      <c r="K17" s="19"/>
    </row>
    <row r="18" spans="1:11" ht="15" customHeight="1" x14ac:dyDescent="0.2">
      <c r="A18" s="14" t="s">
        <v>85</v>
      </c>
      <c r="B18" s="15"/>
      <c r="C18" s="15"/>
      <c r="D18" s="15"/>
      <c r="E18" s="15"/>
      <c r="F18" s="15"/>
      <c r="G18" s="4"/>
      <c r="H18" s="4"/>
      <c r="I18" s="4"/>
      <c r="J18" s="23">
        <f t="shared" si="0"/>
        <v>0</v>
      </c>
      <c r="K18" s="15"/>
    </row>
    <row r="19" spans="1:11" ht="15" customHeight="1" x14ac:dyDescent="0.2">
      <c r="A19" s="18" t="s">
        <v>86</v>
      </c>
      <c r="B19" s="19"/>
      <c r="C19" s="19"/>
      <c r="D19" s="19"/>
      <c r="E19" s="19"/>
      <c r="F19" s="19"/>
      <c r="G19" s="7"/>
      <c r="H19" s="7"/>
      <c r="I19" s="7"/>
      <c r="J19" s="22">
        <f t="shared" si="0"/>
        <v>0</v>
      </c>
      <c r="K19" s="19"/>
    </row>
    <row r="20" spans="1:11" x14ac:dyDescent="0.2">
      <c r="A20" s="15"/>
      <c r="B20" s="15"/>
      <c r="C20" s="15"/>
      <c r="D20" s="15"/>
      <c r="E20" s="15"/>
      <c r="F20" s="15"/>
      <c r="G20" s="15"/>
      <c r="H20" s="15"/>
      <c r="I20" s="15"/>
      <c r="J20" s="23">
        <f t="shared" si="0"/>
        <v>0</v>
      </c>
    </row>
    <row r="21" spans="1:11" ht="15" customHeight="1" x14ac:dyDescent="0.2">
      <c r="A21" s="32" t="s">
        <v>87</v>
      </c>
      <c r="B21" s="32"/>
      <c r="C21" s="32"/>
      <c r="D21" s="24"/>
      <c r="E21" s="24"/>
      <c r="F21" s="24"/>
      <c r="G21" s="25">
        <f>SUM(G4:G20)</f>
        <v>11</v>
      </c>
      <c r="H21" s="25">
        <f>SUM(H4:H20)</f>
        <v>23</v>
      </c>
      <c r="I21" s="25">
        <f>SUM(I4:I20)</f>
        <v>16</v>
      </c>
      <c r="J21" s="9">
        <f>SUM(J4:J20)</f>
        <v>50</v>
      </c>
    </row>
  </sheetData>
  <autoFilter ref="A3:L20" xr:uid="{00000000-0009-0000-0000-000001000000}"/>
  <mergeCells count="3">
    <mergeCell ref="A1:I1"/>
    <mergeCell ref="A2:I2"/>
    <mergeCell ref="A21:C21"/>
  </mergeCells>
  <dataValidations count="2">
    <dataValidation type="list" allowBlank="1" errorTitle="Valore non valido" error="Seleziona: Alta, Media o Bassa" sqref="F4:F200" xr:uid="{00000000-0002-0000-0100-000000000000}">
      <formula1>"Alta,Media,Bassa"</formula1>
      <formula2>0</formula2>
    </dataValidation>
    <dataValidation type="list" allowBlank="1" sqref="K4:K200" xr:uid="{00000000-0002-0000-0100-000001000000}">
      <formula1>"Must Have,Should Have,Nice to Have"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"/>
  <sheetViews>
    <sheetView showGridLines="0" zoomScale="90" zoomScaleNormal="90" workbookViewId="0">
      <pane ySplit="3" topLeftCell="A4" activePane="bottomLeft" state="frozen"/>
      <selection pane="bottomLeft" activeCell="E5" sqref="E5"/>
    </sheetView>
  </sheetViews>
  <sheetFormatPr baseColWidth="10" defaultColWidth="8.6640625" defaultRowHeight="15" x14ac:dyDescent="0.2"/>
  <cols>
    <col min="1" max="1" width="8" customWidth="1"/>
    <col min="2" max="2" width="16" customWidth="1"/>
    <col min="3" max="3" width="36" customWidth="1"/>
    <col min="4" max="5" width="12" customWidth="1"/>
    <col min="6" max="6" width="14" customWidth="1"/>
    <col min="7" max="7" width="36" customWidth="1"/>
    <col min="8" max="8" width="14" customWidth="1"/>
  </cols>
  <sheetData>
    <row r="1" spans="1:8" ht="31.5" customHeight="1" x14ac:dyDescent="0.2">
      <c r="A1" s="30" t="s">
        <v>90</v>
      </c>
      <c r="B1" s="30"/>
      <c r="C1" s="30"/>
      <c r="D1" s="30"/>
      <c r="E1" s="30"/>
      <c r="F1" s="30"/>
      <c r="G1" s="30"/>
      <c r="H1" s="30"/>
    </row>
    <row r="2" spans="1:8" ht="15" customHeight="1" x14ac:dyDescent="0.2">
      <c r="A2" s="35" t="s">
        <v>91</v>
      </c>
      <c r="B2" s="35"/>
      <c r="C2" s="35"/>
      <c r="D2" s="35"/>
      <c r="E2" s="35"/>
      <c r="F2" s="35"/>
      <c r="G2" s="35"/>
      <c r="H2" s="35"/>
    </row>
    <row r="3" spans="1:8" ht="23.25" customHeight="1" x14ac:dyDescent="0.2">
      <c r="A3" s="13" t="s">
        <v>92</v>
      </c>
      <c r="B3" s="13" t="s">
        <v>93</v>
      </c>
      <c r="C3" s="13" t="s">
        <v>94</v>
      </c>
      <c r="D3" s="13" t="s">
        <v>95</v>
      </c>
      <c r="E3" s="13" t="s">
        <v>96</v>
      </c>
      <c r="F3" s="13" t="s">
        <v>97</v>
      </c>
      <c r="G3" s="13" t="s">
        <v>98</v>
      </c>
      <c r="H3" s="13" t="s">
        <v>89</v>
      </c>
    </row>
    <row r="4" spans="1:8" ht="79.5" customHeight="1" x14ac:dyDescent="0.2">
      <c r="A4" s="14" t="s">
        <v>99</v>
      </c>
      <c r="B4" s="3" t="s">
        <v>100</v>
      </c>
      <c r="C4" s="15" t="s">
        <v>101</v>
      </c>
      <c r="D4" s="15" t="s">
        <v>102</v>
      </c>
      <c r="E4" s="16" t="s">
        <v>103</v>
      </c>
      <c r="F4" s="3" t="s">
        <v>104</v>
      </c>
      <c r="G4" s="14" t="s">
        <v>105</v>
      </c>
      <c r="H4" s="15" t="s">
        <v>106</v>
      </c>
    </row>
    <row r="5" spans="1:8" ht="79.5" customHeight="1" x14ac:dyDescent="0.2">
      <c r="A5" s="18" t="s">
        <v>107</v>
      </c>
      <c r="B5" s="6" t="s">
        <v>108</v>
      </c>
      <c r="C5" s="19" t="s">
        <v>109</v>
      </c>
      <c r="D5" s="19" t="s">
        <v>110</v>
      </c>
      <c r="E5" s="16" t="s">
        <v>103</v>
      </c>
      <c r="F5" s="6" t="s">
        <v>111</v>
      </c>
      <c r="G5" s="18" t="s">
        <v>112</v>
      </c>
      <c r="H5" s="19" t="s">
        <v>113</v>
      </c>
    </row>
    <row r="6" spans="1:8" ht="57" customHeight="1" x14ac:dyDescent="0.2">
      <c r="A6" s="14" t="s">
        <v>114</v>
      </c>
      <c r="B6" s="3" t="s">
        <v>115</v>
      </c>
      <c r="C6" s="15" t="s">
        <v>116</v>
      </c>
      <c r="D6" s="15" t="s">
        <v>117</v>
      </c>
      <c r="E6" s="20" t="s">
        <v>118</v>
      </c>
      <c r="F6" s="3" t="s">
        <v>119</v>
      </c>
      <c r="G6" s="14" t="s">
        <v>112</v>
      </c>
      <c r="H6" s="15" t="s">
        <v>120</v>
      </c>
    </row>
    <row r="7" spans="1:8" ht="68.25" customHeight="1" x14ac:dyDescent="0.2">
      <c r="A7" s="18" t="s">
        <v>121</v>
      </c>
      <c r="B7" s="6" t="s">
        <v>122</v>
      </c>
      <c r="C7" s="19" t="s">
        <v>123</v>
      </c>
      <c r="D7" s="19" t="s">
        <v>124</v>
      </c>
      <c r="E7" s="20" t="s">
        <v>118</v>
      </c>
      <c r="F7" s="6" t="s">
        <v>125</v>
      </c>
      <c r="G7" s="18" t="s">
        <v>126</v>
      </c>
      <c r="H7" s="19" t="s">
        <v>127</v>
      </c>
    </row>
    <row r="8" spans="1:8" ht="79.5" customHeight="1" x14ac:dyDescent="0.2">
      <c r="A8" s="14" t="s">
        <v>128</v>
      </c>
      <c r="B8" s="3" t="s">
        <v>129</v>
      </c>
      <c r="C8" s="15" t="s">
        <v>130</v>
      </c>
      <c r="D8" s="15" t="s">
        <v>131</v>
      </c>
      <c r="E8" s="16" t="s">
        <v>103</v>
      </c>
      <c r="F8" s="3" t="s">
        <v>132</v>
      </c>
      <c r="G8" s="14" t="s">
        <v>133</v>
      </c>
      <c r="H8" s="15" t="s">
        <v>134</v>
      </c>
    </row>
    <row r="9" spans="1:8" ht="79.5" customHeight="1" x14ac:dyDescent="0.2">
      <c r="A9" s="18" t="s">
        <v>135</v>
      </c>
      <c r="B9" s="6" t="s">
        <v>136</v>
      </c>
      <c r="C9" s="19" t="s">
        <v>137</v>
      </c>
      <c r="D9" s="19" t="s">
        <v>138</v>
      </c>
      <c r="E9" s="20" t="s">
        <v>118</v>
      </c>
      <c r="F9" s="6" t="s">
        <v>139</v>
      </c>
      <c r="G9" s="18" t="s">
        <v>140</v>
      </c>
      <c r="H9" s="19" t="s">
        <v>141</v>
      </c>
    </row>
    <row r="10" spans="1:8" ht="34.5" customHeight="1" x14ac:dyDescent="0.2">
      <c r="A10" s="14" t="s">
        <v>142</v>
      </c>
      <c r="B10" s="3" t="s">
        <v>143</v>
      </c>
      <c r="C10" s="15" t="s">
        <v>144</v>
      </c>
      <c r="D10" s="15" t="s">
        <v>145</v>
      </c>
      <c r="E10" s="21" t="s">
        <v>146</v>
      </c>
      <c r="F10" s="3" t="s">
        <v>147</v>
      </c>
      <c r="G10" s="14" t="s">
        <v>148</v>
      </c>
      <c r="H10" s="15" t="s">
        <v>149</v>
      </c>
    </row>
    <row r="13" spans="1:8" ht="15" customHeight="1" x14ac:dyDescent="0.2">
      <c r="A13" s="35" t="s">
        <v>150</v>
      </c>
      <c r="B13" s="35"/>
      <c r="C13" s="35"/>
      <c r="D13" s="35"/>
      <c r="E13" s="35"/>
      <c r="F13" s="35"/>
      <c r="G13" s="35"/>
      <c r="H13" s="35"/>
    </row>
    <row r="14" spans="1:8" ht="15" customHeight="1" x14ac:dyDescent="0.2">
      <c r="A14" s="13" t="s">
        <v>92</v>
      </c>
      <c r="B14" s="13" t="s">
        <v>93</v>
      </c>
      <c r="C14" s="13" t="s">
        <v>151</v>
      </c>
      <c r="D14" s="13" t="s">
        <v>152</v>
      </c>
      <c r="E14" s="13" t="s">
        <v>153</v>
      </c>
      <c r="F14" s="13" t="s">
        <v>154</v>
      </c>
      <c r="G14" s="13" t="s">
        <v>155</v>
      </c>
      <c r="H14" s="13" t="s">
        <v>156</v>
      </c>
    </row>
    <row r="15" spans="1:8" ht="34.5" customHeight="1" x14ac:dyDescent="0.2">
      <c r="A15" s="14" t="s">
        <v>157</v>
      </c>
      <c r="B15" s="3" t="s">
        <v>158</v>
      </c>
      <c r="C15" s="15" t="s">
        <v>159</v>
      </c>
      <c r="D15" s="14" t="s">
        <v>160</v>
      </c>
      <c r="E15" s="14" t="s">
        <v>161</v>
      </c>
      <c r="F15" s="26" t="s">
        <v>162</v>
      </c>
      <c r="G15" s="15" t="s">
        <v>163</v>
      </c>
      <c r="H15" s="3" t="s">
        <v>164</v>
      </c>
    </row>
    <row r="16" spans="1:8" ht="34.5" customHeight="1" x14ac:dyDescent="0.2">
      <c r="A16" s="18" t="s">
        <v>165</v>
      </c>
      <c r="B16" s="6" t="s">
        <v>166</v>
      </c>
      <c r="C16" s="19" t="s">
        <v>167</v>
      </c>
      <c r="D16" s="18" t="s">
        <v>168</v>
      </c>
      <c r="E16" s="18" t="s">
        <v>161</v>
      </c>
      <c r="F16" s="16" t="s">
        <v>169</v>
      </c>
      <c r="G16" s="19" t="s">
        <v>170</v>
      </c>
      <c r="H16" s="6" t="s">
        <v>171</v>
      </c>
    </row>
    <row r="17" spans="1:8" ht="34.5" customHeight="1" x14ac:dyDescent="0.2">
      <c r="A17" s="14" t="s">
        <v>172</v>
      </c>
      <c r="B17" s="3" t="s">
        <v>173</v>
      </c>
      <c r="C17" s="15" t="s">
        <v>174</v>
      </c>
      <c r="D17" s="14" t="s">
        <v>160</v>
      </c>
      <c r="E17" s="14" t="s">
        <v>175</v>
      </c>
      <c r="F17" s="16" t="s">
        <v>169</v>
      </c>
      <c r="G17" s="15" t="s">
        <v>176</v>
      </c>
      <c r="H17" s="3" t="s">
        <v>177</v>
      </c>
    </row>
    <row r="18" spans="1:8" ht="34.5" customHeight="1" x14ac:dyDescent="0.2">
      <c r="A18" s="18" t="s">
        <v>178</v>
      </c>
      <c r="B18" s="6" t="s">
        <v>115</v>
      </c>
      <c r="C18" s="19" t="s">
        <v>179</v>
      </c>
      <c r="D18" s="18" t="s">
        <v>168</v>
      </c>
      <c r="E18" s="18" t="s">
        <v>161</v>
      </c>
      <c r="F18" s="16" t="s">
        <v>169</v>
      </c>
      <c r="G18" s="19" t="s">
        <v>180</v>
      </c>
      <c r="H18" s="6" t="s">
        <v>88</v>
      </c>
    </row>
    <row r="19" spans="1:8" ht="34.5" customHeight="1" x14ac:dyDescent="0.2">
      <c r="A19" s="14" t="s">
        <v>181</v>
      </c>
      <c r="B19" s="3" t="s">
        <v>182</v>
      </c>
      <c r="C19" s="15" t="s">
        <v>183</v>
      </c>
      <c r="D19" s="14" t="s">
        <v>168</v>
      </c>
      <c r="E19" s="14" t="s">
        <v>175</v>
      </c>
      <c r="F19" s="20" t="s">
        <v>184</v>
      </c>
      <c r="G19" s="15" t="s">
        <v>185</v>
      </c>
      <c r="H19" s="3" t="s">
        <v>186</v>
      </c>
    </row>
    <row r="20" spans="1:8" ht="34.5" customHeight="1" x14ac:dyDescent="0.2">
      <c r="A20" s="18" t="s">
        <v>187</v>
      </c>
      <c r="B20" s="6" t="s">
        <v>136</v>
      </c>
      <c r="C20" s="19" t="s">
        <v>188</v>
      </c>
      <c r="D20" s="18" t="s">
        <v>189</v>
      </c>
      <c r="E20" s="18" t="s">
        <v>161</v>
      </c>
      <c r="F20" s="20" t="s">
        <v>190</v>
      </c>
      <c r="G20" s="19" t="s">
        <v>191</v>
      </c>
      <c r="H20" s="6" t="s">
        <v>192</v>
      </c>
    </row>
    <row r="21" spans="1:8" ht="34.5" customHeight="1" x14ac:dyDescent="0.2">
      <c r="A21" s="14" t="s">
        <v>193</v>
      </c>
      <c r="B21" s="3" t="s">
        <v>194</v>
      </c>
      <c r="C21" s="15" t="s">
        <v>195</v>
      </c>
      <c r="D21" s="14" t="s">
        <v>189</v>
      </c>
      <c r="E21" s="14" t="s">
        <v>175</v>
      </c>
      <c r="F21" s="21" t="s">
        <v>196</v>
      </c>
      <c r="G21" s="15" t="s">
        <v>197</v>
      </c>
      <c r="H21" s="3" t="s">
        <v>198</v>
      </c>
    </row>
  </sheetData>
  <mergeCells count="3">
    <mergeCell ref="A1:H1"/>
    <mergeCell ref="A2:H2"/>
    <mergeCell ref="A13:H1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Requirements &amp; Solution Mapping</vt:lpstr>
      <vt:lpstr>Assumptions &amp; Risks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Tiberi, Fabio</cp:lastModifiedBy>
  <cp:revision>3</cp:revision>
  <dcterms:created xsi:type="dcterms:W3CDTF">2026-04-16T17:14:05Z</dcterms:created>
  <dcterms:modified xsi:type="dcterms:W3CDTF">2026-04-22T11:08:32Z</dcterms:modified>
  <dc:language>en-US</dc:language>
</cp:coreProperties>
</file>