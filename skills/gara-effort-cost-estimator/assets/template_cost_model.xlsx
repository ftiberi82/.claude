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. Parametri" sheetId="1" state="visible" r:id="rId1"/>
    <sheet xmlns:r="http://schemas.openxmlformats.org/officeDocument/2006/relationships" name="A. Stima Effort" sheetId="2" state="visible" r:id="rId2"/>
    <sheet xmlns:r="http://schemas.openxmlformats.org/officeDocument/2006/relationships" name="B. Cost Model" sheetId="3" state="visible" r:id="rId3"/>
    <sheet xmlns:r="http://schemas.openxmlformats.org/officeDocument/2006/relationships" name="C. Sensitivity Pricing" sheetId="4" state="visible" r:id="rId4"/>
    <sheet xmlns:r="http://schemas.openxmlformats.org/officeDocument/2006/relationships" name="D. Risk Register Stima" sheetId="5" state="visible" r:id="rId5"/>
    <sheet xmlns:r="http://schemas.openxmlformats.org/officeDocument/2006/relationships" name="_Esempi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&quot;€&quot;#,##0;[Red](&quot;€&quot;#,##0);&quot;-&quot;"/>
    <numFmt numFmtId="165" formatCode="#,##0;[Red](#,##0);&quot;-&quot;"/>
    <numFmt numFmtId="166" formatCode="0.0%;[Red](0.0%);&quot;-&quot;"/>
    <numFmt numFmtId="167" formatCode="#,##0.0;[Red](#,##0.0);&quot;-&quot;"/>
  </numFmts>
  <fonts count="35">
    <font>
      <name val="Calibri"/>
      <family val="2"/>
      <color theme="1"/>
      <sz val="11"/>
      <scheme val="minor"/>
    </font>
    <font>
      <name val="Calibri"/>
      <b val="1"/>
      <color rgb="00FFFFFF"/>
      <sz val="13"/>
    </font>
    <font>
      <name val="Calibri"/>
      <i val="1"/>
      <color rgb="0094A3B8"/>
      <sz val="9"/>
    </font>
    <font>
      <name val="Calibri"/>
      <b val="1"/>
      <color rgb="00FFFFFF"/>
      <sz val="9"/>
    </font>
    <font>
      <name val="Calibri"/>
      <b val="1"/>
      <color rgb="00FFFFFF"/>
      <sz val="11"/>
    </font>
    <font>
      <name val="Calibri"/>
      <b val="1"/>
      <color rgb="00065F46"/>
      <sz val="9"/>
    </font>
    <font>
      <name val="Calibri"/>
      <color rgb="00065F46"/>
      <sz val="9"/>
    </font>
    <font>
      <name val="Calibri"/>
      <b val="1"/>
      <color rgb="000000FF"/>
      <sz val="10"/>
    </font>
    <font>
      <name val="Calibri"/>
      <color rgb="00065F46"/>
      <sz val="8"/>
    </font>
    <font>
      <name val="Calibri"/>
      <i val="1"/>
      <color rgb="00065F46"/>
      <sz val="8"/>
    </font>
    <font>
      <name val="Calibri"/>
      <b val="1"/>
      <color rgb="00991B1B"/>
      <sz val="9"/>
    </font>
    <font>
      <name val="Calibri"/>
      <color rgb="00991B1B"/>
      <sz val="9"/>
    </font>
    <font>
      <name val="Calibri"/>
      <color rgb="00991B1B"/>
      <sz val="8"/>
    </font>
    <font>
      <name val="Calibri"/>
      <i val="1"/>
      <color rgb="00991B1B"/>
      <sz val="8"/>
    </font>
    <font>
      <name val="Calibri"/>
      <b val="1"/>
      <color rgb="0092400E"/>
      <sz val="9"/>
    </font>
    <font>
      <name val="Calibri"/>
      <color rgb="0092400E"/>
      <sz val="9"/>
    </font>
    <font>
      <name val="Calibri"/>
      <color rgb="0092400E"/>
      <sz val="8"/>
    </font>
    <font>
      <name val="Calibri"/>
      <i val="1"/>
      <color rgb="0092400E"/>
      <sz val="8"/>
    </font>
    <font>
      <name val="Calibri"/>
      <b val="1"/>
      <color rgb="00065F46"/>
      <sz val="8"/>
    </font>
    <font>
      <name val="Calibri"/>
      <color rgb="00000000"/>
      <sz val="9"/>
    </font>
    <font>
      <name val="Calibri"/>
      <b val="1"/>
      <color rgb="00000000"/>
      <sz val="9"/>
    </font>
    <font>
      <name val="Calibri"/>
      <b val="1"/>
      <color rgb="0092400E"/>
      <sz val="8"/>
    </font>
    <font>
      <name val="Calibri"/>
      <i val="1"/>
      <color rgb="00FFFFFF"/>
      <sz val="8"/>
    </font>
    <font>
      <name val="Calibri"/>
      <b val="1"/>
      <color rgb="00FFFFFF"/>
      <sz val="10"/>
    </font>
    <font>
      <name val="Calibri"/>
      <b val="1"/>
      <color rgb="00991B1B"/>
      <sz val="8"/>
    </font>
    <font>
      <name val="Calibri"/>
      <i val="1"/>
      <color rgb="0064748B"/>
      <sz val="8"/>
    </font>
    <font>
      <name val="Calibri"/>
      <b val="1"/>
      <color rgb="0064748B"/>
      <sz val="9"/>
    </font>
    <font>
      <name val="Calibri"/>
      <b val="1"/>
      <color rgb="000000FF"/>
      <sz val="9"/>
    </font>
    <font>
      <name val="Calibri"/>
      <color rgb="00000000"/>
      <sz val="8"/>
    </font>
    <font>
      <name val="Calibri"/>
      <b val="1"/>
      <color rgb="00000000"/>
      <sz val="10"/>
    </font>
    <font>
      <name val="Calibri"/>
      <i val="1"/>
      <color rgb="00000000"/>
      <sz val="8"/>
    </font>
    <font>
      <name val="Calibri"/>
      <i val="1"/>
      <color rgb="0092400E"/>
      <sz val="9"/>
    </font>
    <font>
      <name val="Calibri"/>
      <b val="1"/>
      <color rgb="00FFFFFF"/>
      <sz val="14"/>
    </font>
    <font>
      <name val="Calibri"/>
      <i val="1"/>
      <color rgb="00595959"/>
      <sz val="10"/>
    </font>
    <font>
      <name val="Calibri"/>
      <b val="1"/>
      <color rgb="00595959"/>
      <sz val="9"/>
    </font>
  </fonts>
  <fills count="16">
    <fill>
      <patternFill/>
    </fill>
    <fill>
      <patternFill patternType="gray125"/>
    </fill>
    <fill>
      <patternFill patternType="solid">
        <fgColor rgb="000D1B3E"/>
      </patternFill>
    </fill>
    <fill>
      <patternFill patternType="solid">
        <fgColor rgb="001E3A5F"/>
      </patternFill>
    </fill>
    <fill>
      <patternFill patternType="solid">
        <fgColor rgb="00059669"/>
      </patternFill>
    </fill>
    <fill>
      <patternFill patternType="solid">
        <fgColor rgb="00DCFCE7"/>
      </patternFill>
    </fill>
    <fill>
      <patternFill patternType="solid">
        <fgColor rgb="00DC2626"/>
      </patternFill>
    </fill>
    <fill>
      <patternFill patternType="solid">
        <fgColor rgb="00FEE2E2"/>
      </patternFill>
    </fill>
    <fill>
      <patternFill patternType="solid">
        <fgColor rgb="00D97706"/>
      </patternFill>
    </fill>
    <fill>
      <patternFill patternType="solid">
        <fgColor rgb="00FEF9C3"/>
      </patternFill>
    </fill>
    <fill>
      <patternFill patternType="solid">
        <fgColor rgb="00F8FAFC"/>
      </patternFill>
    </fill>
    <fill>
      <patternFill patternType="solid">
        <fgColor rgb="00EFF6FF"/>
      </patternFill>
    </fill>
    <fill>
      <patternFill patternType="solid">
        <fgColor rgb="00FEF3C7"/>
      </patternFill>
    </fill>
    <fill>
      <patternFill patternType="solid">
        <fgColor rgb="00DBEAFE"/>
      </patternFill>
    </fill>
    <fill>
      <patternFill patternType="solid">
        <fgColor rgb="001F4E78"/>
      </patternFill>
    </fill>
    <fill>
      <patternFill patternType="solid">
        <fgColor rgb="002E75B6"/>
      </patternFill>
    </fill>
  </fills>
  <borders count="3">
    <border>
      <left/>
      <right/>
      <top/>
      <bottom/>
      <diagonal/>
    </border>
    <border>
      <left style="thin">
        <color rgb="000D1B3E"/>
      </left>
      <right style="thin">
        <color rgb="000D1B3E"/>
      </right>
      <top style="thin">
        <color rgb="000D1B3E"/>
      </top>
      <bottom style="thin">
        <color rgb="000D1B3E"/>
      </bottom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110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0" applyAlignment="1" pivotButton="0" quotePrefix="0" xfId="0">
      <alignment horizontal="left" vertical="center"/>
    </xf>
    <xf numFmtId="0" fontId="3" fillId="2" borderId="1" applyAlignment="1" pivotButton="0" quotePrefix="0" xfId="0">
      <alignment horizontal="left" vertical="center" wrapText="1"/>
    </xf>
    <xf numFmtId="0" fontId="4" fillId="4" borderId="0" applyAlignment="1" pivotButton="0" quotePrefix="0" xfId="0">
      <alignment horizontal="left" vertical="center"/>
    </xf>
    <xf numFmtId="0" fontId="5" fillId="5" borderId="2" applyAlignment="1" pivotButton="0" quotePrefix="0" xfId="0">
      <alignment horizontal="center" vertical="center" wrapText="1"/>
    </xf>
    <xf numFmtId="0" fontId="6" fillId="5" borderId="2" applyAlignment="1" pivotButton="0" quotePrefix="0" xfId="0">
      <alignment horizontal="left" vertical="center" wrapText="1"/>
    </xf>
    <xf numFmtId="164" fontId="7" fillId="5" borderId="2" applyAlignment="1" pivotButton="0" quotePrefix="0" xfId="0">
      <alignment horizontal="right" vertical="center"/>
    </xf>
    <xf numFmtId="0" fontId="8" fillId="5" borderId="2" applyAlignment="1" pivotButton="0" quotePrefix="0" xfId="0">
      <alignment horizontal="center" vertical="center" wrapText="1"/>
    </xf>
    <xf numFmtId="0" fontId="9" fillId="5" borderId="2" applyAlignment="1" pivotButton="0" quotePrefix="0" xfId="0">
      <alignment horizontal="left" vertical="center" wrapText="1"/>
    </xf>
    <xf numFmtId="0" fontId="4" fillId="6" borderId="0" applyAlignment="1" pivotButton="0" quotePrefix="0" xfId="0">
      <alignment horizontal="left" vertical="center"/>
    </xf>
    <xf numFmtId="0" fontId="10" fillId="7" borderId="2" applyAlignment="1" pivotButton="0" quotePrefix="0" xfId="0">
      <alignment horizontal="center" vertical="center" wrapText="1"/>
    </xf>
    <xf numFmtId="0" fontId="11" fillId="7" borderId="2" applyAlignment="1" pivotButton="0" quotePrefix="0" xfId="0">
      <alignment horizontal="left" vertical="center" wrapText="1"/>
    </xf>
    <xf numFmtId="165" fontId="7" fillId="7" borderId="2" applyAlignment="1" pivotButton="0" quotePrefix="0" xfId="0">
      <alignment horizontal="right" vertical="center"/>
    </xf>
    <xf numFmtId="0" fontId="12" fillId="7" borderId="2" applyAlignment="1" pivotButton="0" quotePrefix="0" xfId="0">
      <alignment horizontal="center" vertical="center" wrapText="1"/>
    </xf>
    <xf numFmtId="0" fontId="13" fillId="7" borderId="2" applyAlignment="1" pivotButton="0" quotePrefix="0" xfId="0">
      <alignment horizontal="left" vertical="center" wrapText="1"/>
    </xf>
    <xf numFmtId="165" fontId="7" fillId="5" borderId="2" applyAlignment="1" pivotButton="0" quotePrefix="0" xfId="0">
      <alignment horizontal="right" vertical="center"/>
    </xf>
    <xf numFmtId="0" fontId="4" fillId="8" borderId="0" applyAlignment="1" pivotButton="0" quotePrefix="0" xfId="0">
      <alignment horizontal="left" vertical="center"/>
    </xf>
    <xf numFmtId="0" fontId="14" fillId="9" borderId="2" applyAlignment="1" pivotButton="0" quotePrefix="0" xfId="0">
      <alignment horizontal="center" vertical="center" wrapText="1"/>
    </xf>
    <xf numFmtId="0" fontId="15" fillId="9" borderId="2" applyAlignment="1" pivotButton="0" quotePrefix="0" xfId="0">
      <alignment horizontal="left" vertical="center" wrapText="1"/>
    </xf>
    <xf numFmtId="164" fontId="7" fillId="9" borderId="2" applyAlignment="1" pivotButton="0" quotePrefix="0" xfId="0">
      <alignment horizontal="right" vertical="center"/>
    </xf>
    <xf numFmtId="0" fontId="16" fillId="9" borderId="2" applyAlignment="1" pivotButton="0" quotePrefix="0" xfId="0">
      <alignment horizontal="center" vertical="center" wrapText="1"/>
    </xf>
    <xf numFmtId="0" fontId="17" fillId="9" borderId="2" applyAlignment="1" pivotButton="0" quotePrefix="0" xfId="0">
      <alignment horizontal="left" vertical="center" wrapText="1"/>
    </xf>
    <xf numFmtId="166" fontId="7" fillId="9" borderId="2" applyAlignment="1" pivotButton="0" quotePrefix="0" xfId="0">
      <alignment horizontal="right" vertical="center"/>
    </xf>
    <xf numFmtId="165" fontId="7" fillId="9" borderId="2" applyAlignment="1" pivotButton="0" quotePrefix="0" xfId="0">
      <alignment horizontal="right" vertical="center"/>
    </xf>
    <xf numFmtId="0" fontId="18" fillId="5" borderId="2" applyAlignment="1" pivotButton="0" quotePrefix="0" xfId="0">
      <alignment horizontal="center" vertical="center" wrapText="1"/>
    </xf>
    <xf numFmtId="167" fontId="19" fillId="5" borderId="2" applyAlignment="1" pivotButton="0" quotePrefix="0" xfId="0">
      <alignment horizontal="right" vertical="center"/>
    </xf>
    <xf numFmtId="167" fontId="20" fillId="5" borderId="2" applyAlignment="1" pivotButton="0" quotePrefix="0" xfId="0">
      <alignment horizontal="right" vertical="center"/>
    </xf>
    <xf numFmtId="0" fontId="21" fillId="9" borderId="2" applyAlignment="1" pivotButton="0" quotePrefix="0" xfId="0">
      <alignment horizontal="center" vertical="center" wrapText="1"/>
    </xf>
    <xf numFmtId="167" fontId="19" fillId="9" borderId="2" applyAlignment="1" pivotButton="0" quotePrefix="0" xfId="0">
      <alignment horizontal="right" vertical="center"/>
    </xf>
    <xf numFmtId="167" fontId="20" fillId="9" borderId="2" applyAlignment="1" pivotButton="0" quotePrefix="0" xfId="0">
      <alignment horizontal="right" vertical="center"/>
    </xf>
    <xf numFmtId="0" fontId="3" fillId="2" borderId="2" applyAlignment="1" pivotButton="0" quotePrefix="0" xfId="0">
      <alignment horizontal="center" vertical="center" wrapText="1"/>
    </xf>
    <xf numFmtId="0" fontId="3" fillId="2" borderId="2" applyAlignment="1" pivotButton="0" quotePrefix="0" xfId="0">
      <alignment horizontal="left" vertical="center" wrapText="1"/>
    </xf>
    <xf numFmtId="0" fontId="22" fillId="2" borderId="2" applyAlignment="1" pivotButton="0" quotePrefix="0" xfId="0">
      <alignment horizontal="left" vertical="center" wrapText="1"/>
    </xf>
    <xf numFmtId="0" fontId="19" fillId="2" borderId="2" applyAlignment="1" pivotButton="0" quotePrefix="0" xfId="0">
      <alignment horizontal="left" vertical="center" wrapText="1"/>
    </xf>
    <xf numFmtId="167" fontId="23" fillId="2" borderId="2" applyAlignment="1" pivotButton="0" quotePrefix="0" xfId="0">
      <alignment horizontal="right" vertical="center"/>
    </xf>
    <xf numFmtId="165" fontId="19" fillId="5" borderId="2" applyAlignment="1" pivotButton="0" quotePrefix="0" xfId="0">
      <alignment horizontal="right" vertical="center"/>
    </xf>
    <xf numFmtId="165" fontId="20" fillId="5" borderId="2" applyAlignment="1" pivotButton="0" quotePrefix="0" xfId="0">
      <alignment horizontal="right" vertical="center"/>
    </xf>
    <xf numFmtId="0" fontId="17" fillId="9" borderId="0" applyAlignment="1" pivotButton="0" quotePrefix="0" xfId="0">
      <alignment horizontal="left" vertical="center" wrapText="1"/>
    </xf>
    <xf numFmtId="0" fontId="24" fillId="7" borderId="2" applyAlignment="1" pivotButton="0" quotePrefix="0" xfId="0">
      <alignment horizontal="center" vertical="center" wrapText="1"/>
    </xf>
    <xf numFmtId="165" fontId="19" fillId="7" borderId="2" applyAlignment="1" pivotButton="0" quotePrefix="0" xfId="0">
      <alignment horizontal="right" vertical="center"/>
    </xf>
    <xf numFmtId="165" fontId="20" fillId="7" borderId="2" applyAlignment="1" pivotButton="0" quotePrefix="0" xfId="0">
      <alignment horizontal="right" vertical="center"/>
    </xf>
    <xf numFmtId="165" fontId="23" fillId="2" borderId="2" applyAlignment="1" pivotButton="0" quotePrefix="0" xfId="0">
      <alignment horizontal="right" vertical="center"/>
    </xf>
    <xf numFmtId="0" fontId="5" fillId="5" borderId="2" applyAlignment="1" pivotButton="0" quotePrefix="0" xfId="0">
      <alignment horizontal="left" vertical="center" wrapText="1"/>
    </xf>
    <xf numFmtId="164" fontId="19" fillId="5" borderId="2" applyAlignment="1" pivotButton="0" quotePrefix="0" xfId="0">
      <alignment horizontal="right" vertical="center"/>
    </xf>
    <xf numFmtId="164" fontId="20" fillId="5" borderId="2" applyAlignment="1" pivotButton="0" quotePrefix="0" xfId="0">
      <alignment horizontal="right" vertical="center"/>
    </xf>
    <xf numFmtId="0" fontId="14" fillId="9" borderId="2" applyAlignment="1" pivotButton="0" quotePrefix="0" xfId="0">
      <alignment horizontal="left" vertical="center" wrapText="1"/>
    </xf>
    <xf numFmtId="164" fontId="19" fillId="9" borderId="2" applyAlignment="1" pivotButton="0" quotePrefix="0" xfId="0">
      <alignment horizontal="right" vertical="center"/>
    </xf>
    <xf numFmtId="166" fontId="19" fillId="9" borderId="2" applyAlignment="1" pivotButton="0" quotePrefix="0" xfId="0">
      <alignment horizontal="right" vertical="center"/>
    </xf>
    <xf numFmtId="164" fontId="20" fillId="9" borderId="2" applyAlignment="1" pivotButton="0" quotePrefix="0" xfId="0">
      <alignment horizontal="right" vertical="center"/>
    </xf>
    <xf numFmtId="0" fontId="10" fillId="7" borderId="2" applyAlignment="1" pivotButton="0" quotePrefix="0" xfId="0">
      <alignment horizontal="left" vertical="center" wrapText="1"/>
    </xf>
    <xf numFmtId="164" fontId="19" fillId="7" borderId="2" applyAlignment="1" pivotButton="0" quotePrefix="0" xfId="0">
      <alignment horizontal="right" vertical="center"/>
    </xf>
    <xf numFmtId="166" fontId="19" fillId="7" borderId="2" applyAlignment="1" pivotButton="0" quotePrefix="0" xfId="0">
      <alignment horizontal="right" vertical="center"/>
    </xf>
    <xf numFmtId="164" fontId="20" fillId="7" borderId="2" applyAlignment="1" pivotButton="0" quotePrefix="0" xfId="0">
      <alignment horizontal="right" vertical="center"/>
    </xf>
    <xf numFmtId="0" fontId="25" fillId="10" borderId="2" applyAlignment="1" pivotButton="0" quotePrefix="0" xfId="0">
      <alignment horizontal="left" vertical="center" wrapText="1"/>
    </xf>
    <xf numFmtId="164" fontId="25" fillId="10" borderId="2" applyAlignment="1" pivotButton="0" quotePrefix="0" xfId="0">
      <alignment horizontal="right" vertical="center"/>
    </xf>
    <xf numFmtId="164" fontId="23" fillId="2" borderId="2" applyAlignment="1" pivotButton="0" quotePrefix="0" xfId="0">
      <alignment horizontal="right" vertical="center"/>
    </xf>
    <xf numFmtId="0" fontId="19" fillId="9" borderId="2" applyAlignment="1" pivotButton="0" quotePrefix="0" xfId="0">
      <alignment horizontal="left" vertical="center" wrapText="1"/>
    </xf>
    <xf numFmtId="0" fontId="19" fillId="7" borderId="2" applyAlignment="1" pivotButton="0" quotePrefix="0" xfId="0">
      <alignment horizontal="left" vertical="center" wrapText="1"/>
    </xf>
    <xf numFmtId="0" fontId="4" fillId="3" borderId="0" applyAlignment="1" pivotButton="0" quotePrefix="0" xfId="0">
      <alignment horizontal="left" vertical="center"/>
    </xf>
    <xf numFmtId="0" fontId="3" fillId="3" borderId="2" applyAlignment="1" pivotButton="0" quotePrefix="0" xfId="0">
      <alignment horizontal="left" vertical="center" wrapText="1"/>
    </xf>
    <xf numFmtId="0" fontId="22" fillId="3" borderId="2" applyAlignment="1" pivotButton="0" quotePrefix="0" xfId="0">
      <alignment horizontal="left" vertical="center" wrapText="1"/>
    </xf>
    <xf numFmtId="164" fontId="23" fillId="3" borderId="2" applyAlignment="1" pivotButton="0" quotePrefix="0" xfId="0">
      <alignment horizontal="right" vertical="center"/>
    </xf>
    <xf numFmtId="0" fontId="19" fillId="3" borderId="2" applyAlignment="1" pivotButton="0" quotePrefix="0" xfId="0">
      <alignment horizontal="left" vertical="center" wrapText="1"/>
    </xf>
    <xf numFmtId="164" fontId="4" fillId="3" borderId="2" applyAlignment="1" pivotButton="0" quotePrefix="0" xfId="0">
      <alignment horizontal="right" vertical="center"/>
    </xf>
    <xf numFmtId="166" fontId="4" fillId="3" borderId="2" applyAlignment="1" pivotButton="0" quotePrefix="0" xfId="0">
      <alignment horizontal="right" vertical="center"/>
    </xf>
    <xf numFmtId="166" fontId="20" fillId="5" borderId="2" applyAlignment="1" pivotButton="0" quotePrefix="0" xfId="0">
      <alignment horizontal="right" vertical="center"/>
    </xf>
    <xf numFmtId="166" fontId="20" fillId="7" borderId="2" applyAlignment="1" pivotButton="0" quotePrefix="0" xfId="0">
      <alignment horizontal="right" vertical="center"/>
    </xf>
    <xf numFmtId="0" fontId="26" fillId="10" borderId="2" applyAlignment="1" pivotButton="0" quotePrefix="0" xfId="0">
      <alignment horizontal="left" vertical="center" wrapText="1"/>
    </xf>
    <xf numFmtId="164" fontId="19" fillId="10" borderId="2" applyAlignment="1" pivotButton="0" quotePrefix="0" xfId="0">
      <alignment horizontal="right" vertical="center"/>
    </xf>
    <xf numFmtId="164" fontId="20" fillId="10" borderId="2" applyAlignment="1" pivotButton="0" quotePrefix="0" xfId="0">
      <alignment horizontal="right" vertical="center"/>
    </xf>
    <xf numFmtId="166" fontId="20" fillId="10" borderId="2" applyAlignment="1" pivotButton="0" quotePrefix="0" xfId="0">
      <alignment horizontal="right" vertical="center"/>
    </xf>
    <xf numFmtId="0" fontId="20" fillId="5" borderId="2" applyAlignment="1" pivotButton="0" quotePrefix="0" xfId="0">
      <alignment horizontal="left" vertical="center" wrapText="1"/>
    </xf>
    <xf numFmtId="166" fontId="27" fillId="5" borderId="2" applyAlignment="1" pivotButton="0" quotePrefix="0" xfId="0">
      <alignment horizontal="right" vertical="center"/>
    </xf>
    <xf numFmtId="0" fontId="28" fillId="5" borderId="2" applyAlignment="1" pivotButton="0" quotePrefix="0" xfId="0">
      <alignment horizontal="center" vertical="center" wrapText="1"/>
    </xf>
    <xf numFmtId="164" fontId="29" fillId="5" borderId="2" applyAlignment="1" pivotButton="0" quotePrefix="0" xfId="0">
      <alignment horizontal="right" vertical="center"/>
    </xf>
    <xf numFmtId="166" fontId="29" fillId="5" borderId="2" applyAlignment="1" pivotButton="0" quotePrefix="0" xfId="0">
      <alignment horizontal="right" vertical="center"/>
    </xf>
    <xf numFmtId="0" fontId="30" fillId="5" borderId="2" applyAlignment="1" pivotButton="0" quotePrefix="0" xfId="0">
      <alignment horizontal="left" vertical="center" wrapText="1"/>
    </xf>
    <xf numFmtId="0" fontId="20" fillId="11" borderId="2" applyAlignment="1" pivotButton="0" quotePrefix="0" xfId="0">
      <alignment horizontal="left" vertical="center" wrapText="1"/>
    </xf>
    <xf numFmtId="166" fontId="27" fillId="11" borderId="2" applyAlignment="1" pivotButton="0" quotePrefix="0" xfId="0">
      <alignment horizontal="right" vertical="center"/>
    </xf>
    <xf numFmtId="0" fontId="28" fillId="11" borderId="2" applyAlignment="1" pivotButton="0" quotePrefix="0" xfId="0">
      <alignment horizontal="center" vertical="center" wrapText="1"/>
    </xf>
    <xf numFmtId="164" fontId="19" fillId="11" borderId="2" applyAlignment="1" pivotButton="0" quotePrefix="0" xfId="0">
      <alignment horizontal="right" vertical="center"/>
    </xf>
    <xf numFmtId="164" fontId="20" fillId="11" borderId="2" applyAlignment="1" pivotButton="0" quotePrefix="0" xfId="0">
      <alignment horizontal="right" vertical="center"/>
    </xf>
    <xf numFmtId="164" fontId="29" fillId="11" borderId="2" applyAlignment="1" pivotButton="0" quotePrefix="0" xfId="0">
      <alignment horizontal="right" vertical="center"/>
    </xf>
    <xf numFmtId="166" fontId="29" fillId="11" borderId="2" applyAlignment="1" pivotButton="0" quotePrefix="0" xfId="0">
      <alignment horizontal="right" vertical="center"/>
    </xf>
    <xf numFmtId="0" fontId="30" fillId="11" borderId="2" applyAlignment="1" pivotButton="0" quotePrefix="0" xfId="0">
      <alignment horizontal="left" vertical="center" wrapText="1"/>
    </xf>
    <xf numFmtId="0" fontId="20" fillId="12" borderId="2" applyAlignment="1" pivotButton="0" quotePrefix="0" xfId="0">
      <alignment horizontal="left" vertical="center" wrapText="1"/>
    </xf>
    <xf numFmtId="166" fontId="27" fillId="12" borderId="2" applyAlignment="1" pivotButton="0" quotePrefix="0" xfId="0">
      <alignment horizontal="right" vertical="center"/>
    </xf>
    <xf numFmtId="0" fontId="28" fillId="12" borderId="2" applyAlignment="1" pivotButton="0" quotePrefix="0" xfId="0">
      <alignment horizontal="center" vertical="center" wrapText="1"/>
    </xf>
    <xf numFmtId="164" fontId="19" fillId="12" borderId="2" applyAlignment="1" pivotButton="0" quotePrefix="0" xfId="0">
      <alignment horizontal="right" vertical="center"/>
    </xf>
    <xf numFmtId="164" fontId="20" fillId="12" borderId="2" applyAlignment="1" pivotButton="0" quotePrefix="0" xfId="0">
      <alignment horizontal="right" vertical="center"/>
    </xf>
    <xf numFmtId="164" fontId="29" fillId="12" borderId="2" applyAlignment="1" pivotButton="0" quotePrefix="0" xfId="0">
      <alignment horizontal="right" vertical="center"/>
    </xf>
    <xf numFmtId="166" fontId="29" fillId="12" borderId="2" applyAlignment="1" pivotButton="0" quotePrefix="0" xfId="0">
      <alignment horizontal="right" vertical="center"/>
    </xf>
    <xf numFmtId="0" fontId="30" fillId="12" borderId="2" applyAlignment="1" pivotButton="0" quotePrefix="0" xfId="0">
      <alignment horizontal="left" vertical="center" wrapText="1"/>
    </xf>
    <xf numFmtId="0" fontId="20" fillId="9" borderId="2" applyAlignment="1" pivotButton="0" quotePrefix="0" xfId="0">
      <alignment horizontal="left" vertical="center" wrapText="1"/>
    </xf>
    <xf numFmtId="166" fontId="27" fillId="9" borderId="2" applyAlignment="1" pivotButton="0" quotePrefix="0" xfId="0">
      <alignment horizontal="right" vertical="center"/>
    </xf>
    <xf numFmtId="0" fontId="28" fillId="9" borderId="2" applyAlignment="1" pivotButton="0" quotePrefix="0" xfId="0">
      <alignment horizontal="center" vertical="center" wrapText="1"/>
    </xf>
    <xf numFmtId="164" fontId="29" fillId="9" borderId="2" applyAlignment="1" pivotButton="0" quotePrefix="0" xfId="0">
      <alignment horizontal="right" vertical="center"/>
    </xf>
    <xf numFmtId="166" fontId="29" fillId="9" borderId="2" applyAlignment="1" pivotButton="0" quotePrefix="0" xfId="0">
      <alignment horizontal="right" vertical="center"/>
    </xf>
    <xf numFmtId="0" fontId="30" fillId="9" borderId="2" applyAlignment="1" pivotButton="0" quotePrefix="0" xfId="0">
      <alignment horizontal="left" vertical="center" wrapText="1"/>
    </xf>
    <xf numFmtId="166" fontId="3" fillId="2" borderId="2" applyAlignment="1" pivotButton="0" quotePrefix="0" xfId="0">
      <alignment horizontal="center" vertical="center"/>
    </xf>
    <xf numFmtId="166" fontId="20" fillId="13" borderId="2" applyAlignment="1" pivotButton="0" quotePrefix="0" xfId="0">
      <alignment horizontal="center" vertical="center"/>
    </xf>
    <xf numFmtId="166" fontId="19" fillId="10" borderId="2" applyAlignment="1" pivotButton="0" quotePrefix="0" xfId="0">
      <alignment horizontal="right" vertical="center"/>
    </xf>
    <xf numFmtId="0" fontId="31" fillId="9" borderId="0" applyAlignment="1" pivotButton="0" quotePrefix="0" xfId="0">
      <alignment horizontal="left" vertical="center" wrapText="1"/>
    </xf>
    <xf numFmtId="0" fontId="32" fillId="14" borderId="0" pivotButton="0" quotePrefix="0" xfId="0"/>
    <xf numFmtId="0" fontId="33" fillId="0" borderId="0" applyAlignment="1" pivotButton="0" quotePrefix="0" xfId="0">
      <alignment vertical="top" wrapText="1"/>
    </xf>
    <xf numFmtId="0" fontId="4" fillId="15" borderId="0" pivotButton="0" quotePrefix="0" xfId="0"/>
    <xf numFmtId="0" fontId="33" fillId="0" borderId="0" pivotButton="0" quotePrefix="0" xfId="0"/>
    <xf numFmtId="0" fontId="34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2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" customWidth="1" min="1" max="1"/>
    <col width="28" customWidth="1" min="2" max="2"/>
    <col width="56" customWidth="1" min="3" max="3"/>
    <col width="16" customWidth="1" min="4" max="4"/>
    <col width="14" customWidth="1" min="5" max="5"/>
    <col width="30" customWidth="1" min="6" max="6"/>
    <col width="36" customWidth="1" min="7" max="7"/>
  </cols>
  <sheetData>
    <row r="1" ht="26" customHeight="1">
      <c r="A1" s="1" t="inlineStr">
        <is>
          <t>Parametri Cost Model — Input Centralizzato</t>
        </is>
      </c>
    </row>
    <row r="2" ht="16" customHeight="1">
      <c r="A2" s="2" t="inlineStr">
        <is>
          <t>Verde=dato certo da gara/RAI | Giallo=assunzione operativa cost modeler | Rosso=bloccante irrisolto (valore default per far girare il modello)</t>
        </is>
      </c>
    </row>
    <row r="3" ht="14" customHeight="1">
      <c r="A3" s="2" t="inlineStr">
        <is>
          <t>Testo blu = input modificabile dal cost modeler. Nessuna cella in questo sheet contiene formule.</t>
        </is>
      </c>
    </row>
    <row r="4"/>
    <row r="5" ht="22" customHeight="1">
      <c r="A5" s="3" t="inlineStr">
        <is>
          <t>#</t>
        </is>
      </c>
      <c r="B5" s="3" t="inlineStr">
        <is>
          <t>Categoria</t>
        </is>
      </c>
      <c r="C5" s="3" t="inlineStr">
        <is>
          <t>Parametro</t>
        </is>
      </c>
      <c r="D5" s="3" t="inlineStr">
        <is>
          <t>Valore</t>
        </is>
      </c>
      <c r="E5" s="3" t="inlineStr">
        <is>
          <t>Unità</t>
        </is>
      </c>
      <c r="F5" s="3" t="inlineStr">
        <is>
          <t>Fonte / Origine</t>
        </is>
      </c>
      <c r="G5" s="3" t="inlineStr">
        <is>
          <t>Note</t>
        </is>
      </c>
    </row>
    <row r="6" ht="22" customHeight="1">
      <c r="A6" s="4" t="inlineStr">
        <is>
          <t>1. ECONOMICS DI GARA — Valori contrattuali (€)</t>
        </is>
      </c>
    </row>
    <row r="7" ht="18" customHeight="1">
      <c r="A7" s="5" t="n">
        <v>1</v>
      </c>
      <c r="B7" s="6" t="inlineStr">
        <is>
          <t>Valore Appalto</t>
        </is>
      </c>
      <c r="C7" s="6" t="inlineStr">
        <is>
          <t>Startup / affiancamento (3 mesi) — non ribassabile</t>
        </is>
      </c>
      <c r="D7" s="7" t="n"/>
      <c r="E7" s="8" t="inlineStr">
        <is>
          <t>€</t>
        </is>
      </c>
      <c r="F7" s="9" t="n"/>
      <c r="G7" s="9" t="n"/>
    </row>
    <row r="8" ht="18" customHeight="1">
      <c r="A8" s="5" t="n">
        <v>2</v>
      </c>
      <c r="B8" s="6" t="inlineStr">
        <is>
          <t>Valore Appalto</t>
        </is>
      </c>
      <c r="C8" s="6" t="inlineStr">
        <is>
          <t>Canone presidio 36 mesi — soggetto a ribasso</t>
        </is>
      </c>
      <c r="D8" s="7" t="n"/>
      <c r="E8" s="8" t="inlineStr">
        <is>
          <t>€</t>
        </is>
      </c>
      <c r="F8" s="9" t="n"/>
      <c r="G8" s="9" t="n"/>
    </row>
    <row r="9" ht="18" customHeight="1">
      <c r="A9" s="5" t="n">
        <v>3</v>
      </c>
      <c r="B9" s="6" t="inlineStr">
        <is>
          <t>Valore Appalto</t>
        </is>
      </c>
      <c r="C9" s="6" t="inlineStr">
        <is>
          <t>Plafond T&amp;M 36 mesi — non vincolante per RAI</t>
        </is>
      </c>
      <c r="D9" s="7" t="n"/>
      <c r="E9" s="8" t="inlineStr">
        <is>
          <t>€</t>
        </is>
      </c>
      <c r="F9" s="9" t="n"/>
      <c r="G9" s="9" t="n"/>
    </row>
    <row r="10" ht="18" customHeight="1">
      <c r="A10" s="5" t="n">
        <v>4</v>
      </c>
      <c r="B10" s="6" t="inlineStr">
        <is>
          <t>Valore Appalto</t>
        </is>
      </c>
      <c r="C10" s="6" t="inlineStr">
        <is>
          <t>Canone proroga 24 mesi — soggetto a ribasso</t>
        </is>
      </c>
      <c r="D10" s="7" t="n"/>
      <c r="E10" s="8" t="inlineStr">
        <is>
          <t>€</t>
        </is>
      </c>
      <c r="F10" s="9" t="n"/>
      <c r="G10" s="9" t="n"/>
    </row>
    <row r="11" ht="18" customHeight="1">
      <c r="A11" s="5" t="n">
        <v>5</v>
      </c>
      <c r="B11" s="6" t="inlineStr">
        <is>
          <t>Valore Appalto</t>
        </is>
      </c>
      <c r="C11" s="6" t="inlineStr">
        <is>
          <t>Plafond T&amp;M proroga 24 mesi</t>
        </is>
      </c>
      <c r="D11" s="7" t="n"/>
      <c r="E11" s="8" t="inlineStr">
        <is>
          <t>€</t>
        </is>
      </c>
      <c r="F11" s="9" t="n"/>
      <c r="G11" s="9" t="n"/>
    </row>
    <row r="12" ht="18" customHeight="1">
      <c r="A12" s="5" t="n">
        <v>6</v>
      </c>
      <c r="B12" s="6" t="inlineStr">
        <is>
          <t>Valore Appalto</t>
        </is>
      </c>
      <c r="C12" s="6" t="inlineStr">
        <is>
          <t>Oneri sicurezza</t>
        </is>
      </c>
      <c r="D12" s="7" t="n"/>
      <c r="E12" s="8" t="inlineStr">
        <is>
          <t>€</t>
        </is>
      </c>
      <c r="F12" s="9" t="n"/>
      <c r="G12" s="9" t="n"/>
    </row>
    <row r="13" ht="22" customHeight="1">
      <c r="A13" s="4" t="inlineStr">
        <is>
          <t>2. TARIFFE T&amp;M — Base d'asta (Disciplinare p.13)</t>
        </is>
      </c>
    </row>
    <row r="14" ht="18" customHeight="1">
      <c r="A14" s="5" t="n">
        <v>7</v>
      </c>
      <c r="B14" s="6" t="inlineStr">
        <is>
          <t>Tariffe T&amp;M</t>
        </is>
      </c>
      <c r="C14" s="6" t="inlineStr">
        <is>
          <t>Tariffa Architetto Applicativo</t>
        </is>
      </c>
      <c r="D14" s="7" t="n"/>
      <c r="E14" s="8" t="inlineStr">
        <is>
          <t>€/GG</t>
        </is>
      </c>
      <c r="F14" s="9" t="n"/>
      <c r="G14" s="9" t="n"/>
    </row>
    <row r="15" ht="18" customHeight="1">
      <c r="A15" s="5" t="n">
        <v>8</v>
      </c>
      <c r="B15" s="6" t="inlineStr">
        <is>
          <t>Tariffe T&amp;M</t>
        </is>
      </c>
      <c r="C15" s="6" t="inlineStr">
        <is>
          <t>Tariffa TL/Analista funzionale</t>
        </is>
      </c>
      <c r="D15" s="7" t="n"/>
      <c r="E15" s="8" t="inlineStr">
        <is>
          <t>€/GG</t>
        </is>
      </c>
      <c r="F15" s="9" t="n"/>
      <c r="G15" s="9" t="n"/>
    </row>
    <row r="16" ht="18" customHeight="1">
      <c r="A16" s="5" t="n">
        <v>9</v>
      </c>
      <c r="B16" s="6" t="inlineStr">
        <is>
          <t>Tariffe T&amp;M</t>
        </is>
      </c>
      <c r="C16" s="6" t="inlineStr">
        <is>
          <t>Tariffa Analista Programmatore</t>
        </is>
      </c>
      <c r="D16" s="7" t="n"/>
      <c r="E16" s="8" t="inlineStr">
        <is>
          <t>€/GG</t>
        </is>
      </c>
      <c r="F16" s="9" t="n"/>
      <c r="G16" s="9" t="n"/>
    </row>
    <row r="17" ht="18" customHeight="1">
      <c r="A17" s="5" t="n">
        <v>10</v>
      </c>
      <c r="B17" s="6" t="inlineStr">
        <is>
          <t>Tariffe T&amp;M</t>
        </is>
      </c>
      <c r="C17" s="6" t="inlineStr">
        <is>
          <t>Tariffa Programmatore</t>
        </is>
      </c>
      <c r="D17" s="7" t="n"/>
      <c r="E17" s="8" t="inlineStr">
        <is>
          <t>€/GG</t>
        </is>
      </c>
      <c r="F17" s="9" t="n"/>
      <c r="G17" s="9" t="n"/>
    </row>
    <row r="18" ht="22" customHeight="1">
      <c r="A18" s="10" t="inlineStr">
        <is>
          <t>3. VOLUMI T&amp;M — Capitolato p.36 (scelta S1: BLOCCANTE non risolto, adottato Capitolato)</t>
        </is>
      </c>
    </row>
    <row r="19" ht="18" customHeight="1">
      <c r="A19" s="11" t="n">
        <v>11</v>
      </c>
      <c r="B19" s="12" t="inlineStr">
        <is>
          <t>Volumi T&amp;M</t>
        </is>
      </c>
      <c r="C19" s="12" t="inlineStr">
        <is>
          <t>Architetto Applicativo — GG/U/anno</t>
        </is>
      </c>
      <c r="D19" s="13" t="n"/>
      <c r="E19" s="14" t="inlineStr">
        <is>
          <t>GG/U/anno</t>
        </is>
      </c>
      <c r="F19" s="15" t="n"/>
      <c r="G19" s="15" t="n"/>
    </row>
    <row r="20" ht="18" customHeight="1">
      <c r="A20" s="11" t="n">
        <v>12</v>
      </c>
      <c r="B20" s="12" t="inlineStr">
        <is>
          <t>Volumi T&amp;M</t>
        </is>
      </c>
      <c r="C20" s="12" t="inlineStr">
        <is>
          <t>TL/Analista funzionale — GG/U/anno</t>
        </is>
      </c>
      <c r="D20" s="13" t="n"/>
      <c r="E20" s="14" t="inlineStr">
        <is>
          <t>GG/U/anno</t>
        </is>
      </c>
      <c r="F20" s="15" t="n"/>
      <c r="G20" s="15" t="n"/>
    </row>
    <row r="21" ht="18" customHeight="1">
      <c r="A21" s="11" t="n">
        <v>13</v>
      </c>
      <c r="B21" s="12" t="inlineStr">
        <is>
          <t>Volumi T&amp;M</t>
        </is>
      </c>
      <c r="C21" s="12" t="inlineStr">
        <is>
          <t>Analista Programmatore — GG/U/anno</t>
        </is>
      </c>
      <c r="D21" s="13" t="n"/>
      <c r="E21" s="14" t="inlineStr">
        <is>
          <t>GG/U/anno</t>
        </is>
      </c>
      <c r="F21" s="15" t="n"/>
      <c r="G21" s="15" t="n"/>
    </row>
    <row r="22" ht="18" customHeight="1">
      <c r="A22" s="11" t="n">
        <v>14</v>
      </c>
      <c r="B22" s="12" t="inlineStr">
        <is>
          <t>Volumi T&amp;M</t>
        </is>
      </c>
      <c r="C22" s="12" t="inlineStr">
        <is>
          <t>Programmatore — GG/U/anno</t>
        </is>
      </c>
      <c r="D22" s="13" t="n"/>
      <c r="E22" s="14" t="inlineStr">
        <is>
          <t>GG/U/anno</t>
        </is>
      </c>
      <c r="F22" s="15" t="n"/>
      <c r="G22" s="15" t="n"/>
    </row>
    <row r="23" ht="22" customHeight="1">
      <c r="A23" s="4" t="inlineStr">
        <is>
          <t>4. COMPOSIZIONE TEAM CANONE — N. risorse (Capitolato pp.13-14,34)</t>
        </is>
      </c>
    </row>
    <row r="24" ht="18" customHeight="1">
      <c r="A24" s="5" t="n">
        <v>15</v>
      </c>
      <c r="B24" s="6" t="inlineStr">
        <is>
          <t>Team Canone</t>
        </is>
      </c>
      <c r="C24" s="6" t="inlineStr">
        <is>
          <t>Service Manager / PM</t>
        </is>
      </c>
      <c r="D24" s="16" t="n"/>
      <c r="E24" s="8" t="inlineStr">
        <is>
          <t>n</t>
        </is>
      </c>
      <c r="F24" s="9" t="n"/>
      <c r="G24" s="9" t="n"/>
    </row>
    <row r="25" ht="18" customHeight="1">
      <c r="A25" s="5" t="n">
        <v>16</v>
      </c>
      <c r="B25" s="6" t="inlineStr">
        <is>
          <t>Team Canone</t>
        </is>
      </c>
      <c r="C25" s="6" t="inlineStr">
        <is>
          <t>Team Leader d'area (BE+FE+Mob+TV)</t>
        </is>
      </c>
      <c r="D25" s="16" t="n"/>
      <c r="E25" s="8" t="inlineStr">
        <is>
          <t>n</t>
        </is>
      </c>
      <c r="F25" s="9" t="n"/>
      <c r="G25" s="9" t="n"/>
    </row>
    <row r="26" ht="18" customHeight="1">
      <c r="A26" s="5" t="n">
        <v>17</v>
      </c>
      <c r="B26" s="6" t="inlineStr">
        <is>
          <t>Team Canone</t>
        </is>
      </c>
      <c r="C26" s="6" t="inlineStr">
        <is>
          <t>Technical Leader (totale 4 aree)</t>
        </is>
      </c>
      <c r="D26" s="16" t="n"/>
      <c r="E26" s="8" t="inlineStr">
        <is>
          <t>n</t>
        </is>
      </c>
      <c r="F26" s="9" t="n"/>
      <c r="G26" s="9" t="n"/>
    </row>
    <row r="27" ht="18" customHeight="1">
      <c r="A27" s="5" t="n">
        <v>18</v>
      </c>
      <c r="B27" s="6" t="inlineStr">
        <is>
          <t>Team Canone</t>
        </is>
      </c>
      <c r="C27" s="6" t="inlineStr">
        <is>
          <t>Analista Programmatore (totale)</t>
        </is>
      </c>
      <c r="D27" s="16" t="n"/>
      <c r="E27" s="8" t="inlineStr">
        <is>
          <t>n</t>
        </is>
      </c>
      <c r="F27" s="9" t="n"/>
      <c r="G27" s="9" t="n"/>
    </row>
    <row r="28" ht="18" customHeight="1">
      <c r="A28" s="5" t="n">
        <v>19</v>
      </c>
      <c r="B28" s="6" t="inlineStr">
        <is>
          <t>Team Canone</t>
        </is>
      </c>
      <c r="C28" s="6" t="inlineStr">
        <is>
          <t>Programmatore (totale)</t>
        </is>
      </c>
      <c r="D28" s="16" t="n"/>
      <c r="E28" s="8" t="inlineStr">
        <is>
          <t>n</t>
        </is>
      </c>
      <c r="F28" s="9" t="n"/>
      <c r="G28" s="9" t="n"/>
    </row>
    <row r="29" ht="22" customHeight="1">
      <c r="A29" s="17" t="inlineStr">
        <is>
          <t>5. COSTI INTERNI — Costo giornaliero pieno aziendale (€/GG)</t>
        </is>
      </c>
    </row>
    <row r="30" ht="18" customHeight="1">
      <c r="A30" s="18" t="n">
        <v>20</v>
      </c>
      <c r="B30" s="19" t="inlineStr">
        <is>
          <t>Costo Interno</t>
        </is>
      </c>
      <c r="C30" s="19" t="inlineStr">
        <is>
          <t>Service Manager / PM</t>
        </is>
      </c>
      <c r="D30" s="20" t="n"/>
      <c r="E30" s="21" t="inlineStr">
        <is>
          <t>€/GG</t>
        </is>
      </c>
      <c r="F30" s="22" t="n"/>
      <c r="G30" s="22" t="n"/>
    </row>
    <row r="31" ht="18" customHeight="1">
      <c r="A31" s="18" t="n">
        <v>21</v>
      </c>
      <c r="B31" s="19" t="inlineStr">
        <is>
          <t>Costo Interno</t>
        </is>
      </c>
      <c r="C31" s="19" t="inlineStr">
        <is>
          <t>Team Leader d'area</t>
        </is>
      </c>
      <c r="D31" s="20" t="n"/>
      <c r="E31" s="21" t="inlineStr">
        <is>
          <t>€/GG</t>
        </is>
      </c>
      <c r="F31" s="22" t="n"/>
      <c r="G31" s="22" t="n"/>
    </row>
    <row r="32" ht="18" customHeight="1">
      <c r="A32" s="18" t="n">
        <v>22</v>
      </c>
      <c r="B32" s="19" t="inlineStr">
        <is>
          <t>Costo Interno</t>
        </is>
      </c>
      <c r="C32" s="19" t="inlineStr">
        <is>
          <t>Technical Leader</t>
        </is>
      </c>
      <c r="D32" s="20" t="n"/>
      <c r="E32" s="21" t="inlineStr">
        <is>
          <t>€/GG</t>
        </is>
      </c>
      <c r="F32" s="22" t="n"/>
      <c r="G32" s="22" t="n"/>
    </row>
    <row r="33" ht="18" customHeight="1">
      <c r="A33" s="18" t="n">
        <v>23</v>
      </c>
      <c r="B33" s="19" t="inlineStr">
        <is>
          <t>Costo Interno</t>
        </is>
      </c>
      <c r="C33" s="19" t="inlineStr">
        <is>
          <t>Analista Programmatore</t>
        </is>
      </c>
      <c r="D33" s="20" t="n"/>
      <c r="E33" s="21" t="inlineStr">
        <is>
          <t>€/GG</t>
        </is>
      </c>
      <c r="F33" s="22" t="n"/>
      <c r="G33" s="22" t="n"/>
    </row>
    <row r="34" ht="18" customHeight="1">
      <c r="A34" s="18" t="n">
        <v>24</v>
      </c>
      <c r="B34" s="19" t="inlineStr">
        <is>
          <t>Costo Interno</t>
        </is>
      </c>
      <c r="C34" s="19" t="inlineStr">
        <is>
          <t>Programmatore</t>
        </is>
      </c>
      <c r="D34" s="20" t="n"/>
      <c r="E34" s="21" t="inlineStr">
        <is>
          <t>€/GG</t>
        </is>
      </c>
      <c r="F34" s="22" t="n"/>
      <c r="G34" s="22" t="n"/>
    </row>
    <row r="35" ht="18" customHeight="1">
      <c r="A35" s="18" t="n">
        <v>25</v>
      </c>
      <c r="B35" s="19" t="inlineStr">
        <is>
          <t>Costo Interno</t>
        </is>
      </c>
      <c r="C35" s="19" t="inlineStr">
        <is>
          <t>Architetto Applicativo (T&amp;M) — scelta S4</t>
        </is>
      </c>
      <c r="D35" s="20" t="n"/>
      <c r="E35" s="21" t="inlineStr">
        <is>
          <t>€/GG</t>
        </is>
      </c>
      <c r="F35" s="22" t="n"/>
      <c r="G35" s="22" t="n"/>
    </row>
    <row r="36" ht="22" customHeight="1">
      <c r="A36" s="4" t="inlineStr">
        <is>
          <t>6. DRIVER OPERATIVI MAC — Da risposta RAI</t>
        </is>
      </c>
    </row>
    <row r="37" ht="18" customHeight="1">
      <c r="A37" s="5" t="n">
        <v>26</v>
      </c>
      <c r="B37" s="6" t="inlineStr">
        <is>
          <t>Volumi MAC</t>
        </is>
      </c>
      <c r="C37" s="6" t="inlineStr">
        <is>
          <t>Ticket MAC totali / anno</t>
        </is>
      </c>
      <c r="D37" s="16" t="n"/>
      <c r="E37" s="8" t="inlineStr">
        <is>
          <t>n/anno</t>
        </is>
      </c>
      <c r="F37" s="9" t="n"/>
      <c r="G37" s="9" t="n"/>
    </row>
    <row r="38" ht="18" customHeight="1">
      <c r="A38" s="18" t="n">
        <v>27</v>
      </c>
      <c r="B38" s="19" t="inlineStr">
        <is>
          <t>Volumi MAC</t>
        </is>
      </c>
      <c r="C38" s="19" t="inlineStr">
        <is>
          <t>% ticket P1</t>
        </is>
      </c>
      <c r="D38" s="23" t="n"/>
      <c r="E38" s="21" t="inlineStr">
        <is>
          <t>%</t>
        </is>
      </c>
      <c r="F38" s="22" t="n"/>
      <c r="G38" s="22" t="n"/>
    </row>
    <row r="39" ht="18" customHeight="1">
      <c r="A39" s="18" t="n">
        <v>28</v>
      </c>
      <c r="B39" s="19" t="inlineStr">
        <is>
          <t>Volumi MAC</t>
        </is>
      </c>
      <c r="C39" s="19" t="inlineStr">
        <is>
          <t>% ticket P2</t>
        </is>
      </c>
      <c r="D39" s="23" t="n"/>
      <c r="E39" s="21" t="inlineStr">
        <is>
          <t>%</t>
        </is>
      </c>
      <c r="F39" s="22" t="n"/>
      <c r="G39" s="22" t="n"/>
    </row>
    <row r="40" ht="18" customHeight="1">
      <c r="A40" s="18" t="n">
        <v>29</v>
      </c>
      <c r="B40" s="19" t="inlineStr">
        <is>
          <t>Volumi MAC</t>
        </is>
      </c>
      <c r="C40" s="19" t="inlineStr">
        <is>
          <t>% ticket P3</t>
        </is>
      </c>
      <c r="D40" s="23" t="n"/>
      <c r="E40" s="21" t="inlineStr">
        <is>
          <t>%</t>
        </is>
      </c>
      <c r="F40" s="22" t="n"/>
      <c r="G40" s="22" t="n"/>
    </row>
    <row r="41" ht="18" customHeight="1">
      <c r="A41" s="18" t="n">
        <v>30</v>
      </c>
      <c r="B41" s="19" t="inlineStr">
        <is>
          <t>Volumi MAC</t>
        </is>
      </c>
      <c r="C41" s="19" t="inlineStr">
        <is>
          <t>% ticket P4</t>
        </is>
      </c>
      <c r="D41" s="23" t="n"/>
      <c r="E41" s="21" t="inlineStr">
        <is>
          <t>%</t>
        </is>
      </c>
      <c r="F41" s="22" t="n"/>
      <c r="G41" s="22" t="n"/>
    </row>
    <row r="42" ht="18" customHeight="1">
      <c r="A42" s="5" t="n">
        <v>31</v>
      </c>
      <c r="B42" s="6" t="inlineStr">
        <is>
          <t>Effort MAC</t>
        </is>
      </c>
      <c r="C42" s="6" t="inlineStr">
        <is>
          <t>Effort medio P1 (ore)</t>
        </is>
      </c>
      <c r="D42" s="16" t="n"/>
      <c r="E42" s="8" t="inlineStr">
        <is>
          <t>ore</t>
        </is>
      </c>
      <c r="F42" s="9" t="n"/>
      <c r="G42" s="9" t="n"/>
    </row>
    <row r="43" ht="18" customHeight="1">
      <c r="A43" s="5" t="n">
        <v>32</v>
      </c>
      <c r="B43" s="6" t="inlineStr">
        <is>
          <t>Effort MAC</t>
        </is>
      </c>
      <c r="C43" s="6" t="inlineStr">
        <is>
          <t>Effort medio P2 (ore)</t>
        </is>
      </c>
      <c r="D43" s="16" t="n"/>
      <c r="E43" s="8" t="inlineStr">
        <is>
          <t>ore</t>
        </is>
      </c>
      <c r="F43" s="9" t="n"/>
      <c r="G43" s="9" t="n"/>
    </row>
    <row r="44" ht="18" customHeight="1">
      <c r="A44" s="5" t="n">
        <v>33</v>
      </c>
      <c r="B44" s="6" t="inlineStr">
        <is>
          <t>Effort MAC</t>
        </is>
      </c>
      <c r="C44" s="6" t="inlineStr">
        <is>
          <t>Effort medio P3 (ore)</t>
        </is>
      </c>
      <c r="D44" s="16" t="n"/>
      <c r="E44" s="8" t="inlineStr">
        <is>
          <t>ore</t>
        </is>
      </c>
      <c r="F44" s="9" t="n"/>
      <c r="G44" s="9" t="n"/>
    </row>
    <row r="45" ht="18" customHeight="1">
      <c r="A45" s="5" t="n">
        <v>34</v>
      </c>
      <c r="B45" s="6" t="inlineStr">
        <is>
          <t>Effort MAC</t>
        </is>
      </c>
      <c r="C45" s="6" t="inlineStr">
        <is>
          <t>Effort medio P4 (ore)</t>
        </is>
      </c>
      <c r="D45" s="16" t="n"/>
      <c r="E45" s="8" t="inlineStr">
        <is>
          <t>ore</t>
        </is>
      </c>
      <c r="F45" s="9" t="n"/>
      <c r="G45" s="9" t="n"/>
    </row>
    <row r="46" ht="18" customHeight="1">
      <c r="A46" s="5" t="n">
        <v>35</v>
      </c>
      <c r="B46" s="6" t="inlineStr">
        <is>
          <t>Effort MAC</t>
        </is>
      </c>
      <c r="C46" s="6" t="inlineStr">
        <is>
          <t>Ore lavorative per GG/U</t>
        </is>
      </c>
      <c r="D46" s="16" t="n"/>
      <c r="E46" s="8" t="inlineStr">
        <is>
          <t>ore/GG</t>
        </is>
      </c>
      <c r="F46" s="9" t="n"/>
      <c r="G46" s="9" t="n"/>
    </row>
    <row r="47" ht="22" customHeight="1">
      <c r="A47" s="4" t="inlineStr">
        <is>
          <t>7. DRIVER OPERATIVI ALTRI SERVIZI CANONE</t>
        </is>
      </c>
    </row>
    <row r="48" ht="18" customHeight="1">
      <c r="A48" s="5" t="n">
        <v>36</v>
      </c>
      <c r="B48" s="6" t="inlineStr">
        <is>
          <t>Volumi REP</t>
        </is>
      </c>
      <c r="C48" s="6" t="inlineStr">
        <is>
          <t>Chiamate reperibilità / mese</t>
        </is>
      </c>
      <c r="D48" s="16" t="n"/>
      <c r="E48" s="8" t="inlineStr">
        <is>
          <t>n/mese</t>
        </is>
      </c>
      <c r="F48" s="9" t="n"/>
      <c r="G48" s="9" t="n"/>
    </row>
    <row r="49" ht="18" customHeight="1">
      <c r="A49" s="5" t="n">
        <v>37</v>
      </c>
      <c r="B49" s="6" t="inlineStr">
        <is>
          <t>Effort REP</t>
        </is>
      </c>
      <c r="C49" s="6" t="inlineStr">
        <is>
          <t>Durata media intervento REP (ore)</t>
        </is>
      </c>
      <c r="D49" s="16" t="n"/>
      <c r="E49" s="8" t="inlineStr">
        <is>
          <t>ore</t>
        </is>
      </c>
      <c r="F49" s="9" t="n"/>
      <c r="G49" s="9" t="n"/>
    </row>
    <row r="50" ht="18" customHeight="1">
      <c r="A50" s="5" t="n">
        <v>38</v>
      </c>
      <c r="B50" s="6" t="inlineStr">
        <is>
          <t>Volumi REP</t>
        </is>
      </c>
      <c r="C50" s="6" t="inlineStr">
        <is>
          <t>Giorni eventi speciali (presidio rinforzato) / anno</t>
        </is>
      </c>
      <c r="D50" s="16" t="n"/>
      <c r="E50" s="8" t="inlineStr">
        <is>
          <t>gg/anno</t>
        </is>
      </c>
      <c r="F50" s="9" t="n"/>
      <c r="G50" s="9" t="n"/>
    </row>
    <row r="51" ht="18" customHeight="1">
      <c r="A51" s="18" t="n">
        <v>39</v>
      </c>
      <c r="B51" s="19" t="inlineStr">
        <is>
          <t>Effort REP</t>
        </is>
      </c>
      <c r="C51" s="19" t="inlineStr">
        <is>
          <t>Profili dedicati eventi speciali</t>
        </is>
      </c>
      <c r="D51" s="24" t="n"/>
      <c r="E51" s="21" t="inlineStr">
        <is>
          <t>n</t>
        </is>
      </c>
      <c r="F51" s="22" t="n"/>
      <c r="G51" s="22" t="n"/>
    </row>
    <row r="52" ht="18" customHeight="1">
      <c r="A52" s="18" t="n">
        <v>40</v>
      </c>
      <c r="B52" s="19" t="inlineStr">
        <is>
          <t>Effort REP</t>
        </is>
      </c>
      <c r="C52" s="19" t="inlineStr">
        <is>
          <t>Ore presidio rinforzato / giorno</t>
        </is>
      </c>
      <c r="D52" s="24" t="n"/>
      <c r="E52" s="21" t="inlineStr">
        <is>
          <t>ore/gg</t>
        </is>
      </c>
      <c r="F52" s="22" t="n"/>
      <c r="G52" s="22" t="n"/>
    </row>
    <row r="53" ht="18" customHeight="1">
      <c r="A53" s="5" t="n">
        <v>41</v>
      </c>
      <c r="B53" s="6" t="inlineStr">
        <is>
          <t>Volumi GES</t>
        </is>
      </c>
      <c r="C53" s="6" t="inlineStr">
        <is>
          <t>Attività GES / anno</t>
        </is>
      </c>
      <c r="D53" s="16" t="n"/>
      <c r="E53" s="8" t="inlineStr">
        <is>
          <t>n/anno</t>
        </is>
      </c>
      <c r="F53" s="9" t="n"/>
      <c r="G53" s="9" t="n"/>
    </row>
    <row r="54" ht="18" customHeight="1">
      <c r="A54" s="18" t="n">
        <v>42</v>
      </c>
      <c r="B54" s="19" t="inlineStr">
        <is>
          <t>Effort GES</t>
        </is>
      </c>
      <c r="C54" s="19" t="inlineStr">
        <is>
          <t>Effort medio per attività GES — scelta S5</t>
        </is>
      </c>
      <c r="D54" s="24" t="n"/>
      <c r="E54" s="21" t="inlineStr">
        <is>
          <t>GG/U/att</t>
        </is>
      </c>
      <c r="F54" s="22" t="n"/>
      <c r="G54" s="22" t="n"/>
    </row>
    <row r="55" ht="18" customHeight="1">
      <c r="A55" s="5" t="n">
        <v>43</v>
      </c>
      <c r="B55" s="6" t="inlineStr">
        <is>
          <t>Volumi GST</t>
        </is>
      </c>
      <c r="C55" s="6" t="inlineStr">
        <is>
          <t>Attività GST / anno</t>
        </is>
      </c>
      <c r="D55" s="16" t="n"/>
      <c r="E55" s="8" t="inlineStr">
        <is>
          <t>n/anno</t>
        </is>
      </c>
      <c r="F55" s="9" t="n"/>
      <c r="G55" s="9" t="n"/>
    </row>
    <row r="56" ht="18" customHeight="1">
      <c r="A56" s="18" t="n">
        <v>44</v>
      </c>
      <c r="B56" s="19" t="inlineStr">
        <is>
          <t>Effort GST</t>
        </is>
      </c>
      <c r="C56" s="19" t="inlineStr">
        <is>
          <t>Effort medio per attività GST — scelta S5</t>
        </is>
      </c>
      <c r="D56" s="24" t="n"/>
      <c r="E56" s="21" t="inlineStr">
        <is>
          <t>GG/U/att</t>
        </is>
      </c>
      <c r="F56" s="22" t="n"/>
      <c r="G56" s="22" t="n"/>
    </row>
    <row r="57" ht="18" customHeight="1">
      <c r="A57" s="5" t="n">
        <v>45</v>
      </c>
      <c r="B57" s="6" t="inlineStr">
        <is>
          <t>Volumi CON</t>
        </is>
      </c>
      <c r="C57" s="6" t="inlineStr">
        <is>
          <t>App in conferimento sui 39 mesi</t>
        </is>
      </c>
      <c r="D57" s="16" t="n"/>
      <c r="E57" s="8" t="inlineStr">
        <is>
          <t>n</t>
        </is>
      </c>
      <c r="F57" s="9" t="n"/>
      <c r="G57" s="9" t="n"/>
    </row>
    <row r="58" ht="18" customHeight="1">
      <c r="A58" s="18" t="n">
        <v>46</v>
      </c>
      <c r="B58" s="19" t="inlineStr">
        <is>
          <t>Effort CON</t>
        </is>
      </c>
      <c r="C58" s="19" t="inlineStr">
        <is>
          <t>Effort onboarding per app — scelta S5</t>
        </is>
      </c>
      <c r="D58" s="24" t="n"/>
      <c r="E58" s="21" t="inlineStr">
        <is>
          <t>GG/U/app</t>
        </is>
      </c>
      <c r="F58" s="22" t="n"/>
      <c r="G58" s="22" t="n"/>
    </row>
    <row r="59" ht="22" customHeight="1">
      <c r="A59" s="4" t="inlineStr">
        <is>
          <t>8. CAPACITY / DURATA</t>
        </is>
      </c>
    </row>
    <row r="60" ht="18" customHeight="1">
      <c r="A60" s="18" t="n">
        <v>47</v>
      </c>
      <c r="B60" s="19" t="inlineStr">
        <is>
          <t>Capacity</t>
        </is>
      </c>
      <c r="C60" s="19" t="inlineStr">
        <is>
          <t>Giorni lavorativi per anno per risorsa</t>
        </is>
      </c>
      <c r="D60" s="24" t="n"/>
      <c r="E60" s="21" t="inlineStr">
        <is>
          <t>GG/anno</t>
        </is>
      </c>
      <c r="F60" s="22" t="n"/>
      <c r="G60" s="22" t="n"/>
    </row>
    <row r="61" ht="18" customHeight="1">
      <c r="A61" s="5" t="n">
        <v>48</v>
      </c>
      <c r="B61" s="6" t="inlineStr">
        <is>
          <t>Durata</t>
        </is>
      </c>
      <c r="C61" s="6" t="inlineStr">
        <is>
          <t>Mesi startup</t>
        </is>
      </c>
      <c r="D61" s="16" t="n"/>
      <c r="E61" s="8" t="inlineStr">
        <is>
          <t>mesi</t>
        </is>
      </c>
      <c r="F61" s="9" t="n"/>
      <c r="G61" s="9" t="n"/>
    </row>
    <row r="62" ht="18" customHeight="1">
      <c r="A62" s="5" t="n">
        <v>49</v>
      </c>
      <c r="B62" s="6" t="inlineStr">
        <is>
          <t>Durata</t>
        </is>
      </c>
      <c r="C62" s="6" t="inlineStr">
        <is>
          <t>Mesi periodo operativo base</t>
        </is>
      </c>
      <c r="D62" s="16" t="n"/>
      <c r="E62" s="8" t="inlineStr">
        <is>
          <t>mesi</t>
        </is>
      </c>
      <c r="F62" s="9" t="n"/>
      <c r="G62" s="9" t="n"/>
    </row>
    <row r="63" ht="18" customHeight="1">
      <c r="A63" s="5" t="n">
        <v>50</v>
      </c>
      <c r="B63" s="6" t="inlineStr">
        <is>
          <t>Durata</t>
        </is>
      </c>
      <c r="C63" s="6" t="inlineStr">
        <is>
          <t>Mesi proroga</t>
        </is>
      </c>
      <c r="D63" s="16" t="n"/>
      <c r="E63" s="8" t="inlineStr">
        <is>
          <t>mesi</t>
        </is>
      </c>
      <c r="F63" s="9" t="n"/>
      <c r="G63" s="9" t="n"/>
    </row>
    <row r="64" ht="18" customHeight="1">
      <c r="A64" s="18" t="n">
        <v>51</v>
      </c>
      <c r="B64" s="19" t="inlineStr">
        <is>
          <t>Capacity</t>
        </is>
      </c>
      <c r="C64" s="19" t="inlineStr">
        <is>
          <t>% capacity team in fase startup</t>
        </is>
      </c>
      <c r="D64" s="23" t="n"/>
      <c r="E64" s="21" t="inlineStr">
        <is>
          <t>%</t>
        </is>
      </c>
      <c r="F64" s="22" t="n"/>
      <c r="G64" s="22" t="n"/>
    </row>
    <row r="65" ht="22" customHeight="1">
      <c r="A65" s="17" t="inlineStr">
        <is>
          <t>9. STRATEGIA RIBASSO — Da definire dal bid manager</t>
        </is>
      </c>
    </row>
    <row r="66" ht="18" customHeight="1">
      <c r="A66" s="18" t="n">
        <v>52</v>
      </c>
      <c r="B66" s="19" t="inlineStr">
        <is>
          <t>Pricing</t>
        </is>
      </c>
      <c r="C66" s="19" t="inlineStr">
        <is>
          <t>% ribasso offerto sul canone</t>
        </is>
      </c>
      <c r="D66" s="23" t="n"/>
      <c r="E66" s="21" t="inlineStr">
        <is>
          <t>%</t>
        </is>
      </c>
      <c r="F66" s="22" t="n"/>
      <c r="G66" s="22" t="n"/>
    </row>
    <row r="67" ht="18" customHeight="1">
      <c r="A67" s="18" t="n">
        <v>53</v>
      </c>
      <c r="B67" s="19" t="inlineStr">
        <is>
          <t>Pricing</t>
        </is>
      </c>
      <c r="C67" s="19" t="inlineStr">
        <is>
          <t>% ribasso offerto sulle tariffe T&amp;M</t>
        </is>
      </c>
      <c r="D67" s="23" t="n"/>
      <c r="E67" s="21" t="inlineStr">
        <is>
          <t>%</t>
        </is>
      </c>
      <c r="F67" s="22" t="n"/>
      <c r="G67" s="22" t="n"/>
    </row>
    <row r="68" ht="18" customHeight="1">
      <c r="A68" s="18" t="n">
        <v>54</v>
      </c>
      <c r="B68" s="19" t="inlineStr">
        <is>
          <t>Pricing</t>
        </is>
      </c>
      <c r="C68" s="19" t="inlineStr">
        <is>
          <t>Tasso utilizzo plafond T&amp;M — scelta S3</t>
        </is>
      </c>
      <c r="D68" s="23" t="n"/>
      <c r="E68" s="21" t="inlineStr">
        <is>
          <t>%</t>
        </is>
      </c>
      <c r="F68" s="22" t="n"/>
      <c r="G68" s="22" t="n"/>
    </row>
    <row r="69" ht="22" customHeight="1">
      <c r="A69" s="17" t="inlineStr">
        <is>
          <t>10. OVERHEAD / CONTINGENCY / INFLAZIONE</t>
        </is>
      </c>
    </row>
    <row r="70" ht="18" customHeight="1">
      <c r="A70" s="18" t="n">
        <v>55</v>
      </c>
      <c r="B70" s="19" t="inlineStr">
        <is>
          <t>Overhead</t>
        </is>
      </c>
      <c r="C70" s="19" t="inlineStr">
        <is>
          <t>% overhead PM su costo diretto</t>
        </is>
      </c>
      <c r="D70" s="23" t="n"/>
      <c r="E70" s="21" t="inlineStr">
        <is>
          <t>%</t>
        </is>
      </c>
      <c r="F70" s="22" t="n"/>
      <c r="G70" s="22" t="n"/>
    </row>
    <row r="71" ht="18" customHeight="1">
      <c r="A71" s="18" t="n">
        <v>56</v>
      </c>
      <c r="B71" s="19" t="inlineStr">
        <is>
          <t>Overhead</t>
        </is>
      </c>
      <c r="C71" s="19" t="inlineStr">
        <is>
          <t>% contingency rischio offerta</t>
        </is>
      </c>
      <c r="D71" s="23" t="n"/>
      <c r="E71" s="21" t="inlineStr">
        <is>
          <t>%</t>
        </is>
      </c>
      <c r="F71" s="22" t="n"/>
      <c r="G71" s="22" t="n"/>
    </row>
    <row r="72" ht="18" customHeight="1">
      <c r="A72" s="18" t="n">
        <v>57</v>
      </c>
      <c r="B72" s="19" t="inlineStr">
        <is>
          <t>Inflazione</t>
        </is>
      </c>
      <c r="C72" s="19" t="inlineStr">
        <is>
          <t>Tasso inflazione costo lavoro / anno</t>
        </is>
      </c>
      <c r="D72" s="23" t="n"/>
      <c r="E72" s="21" t="inlineStr">
        <is>
          <t>%</t>
        </is>
      </c>
      <c r="F72" s="22" t="n"/>
      <c r="G72" s="22" t="n"/>
    </row>
  </sheetData>
  <mergeCells count="13">
    <mergeCell ref="A47:J47"/>
    <mergeCell ref="A3:H3"/>
    <mergeCell ref="A23:J23"/>
    <mergeCell ref="A36:J36"/>
    <mergeCell ref="A6:J6"/>
    <mergeCell ref="A18:J18"/>
    <mergeCell ref="A2:H2"/>
    <mergeCell ref="A69:J69"/>
    <mergeCell ref="A29:J29"/>
    <mergeCell ref="A59:J59"/>
    <mergeCell ref="A65:J65"/>
    <mergeCell ref="A1:H1"/>
    <mergeCell ref="A13:J1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7"/>
  <sheetViews>
    <sheetView workbookViewId="0">
      <pane xSplit="1" ySplit="4" topLeftCell="B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0" customWidth="1" min="1" max="1"/>
    <col width="36" customWidth="1" min="2" max="2"/>
    <col width="30" customWidth="1" min="3" max="3"/>
    <col width="38" customWidth="1" min="4" max="4"/>
    <col width="13" customWidth="1" min="5" max="5"/>
    <col width="14" customWidth="1" min="6" max="6"/>
    <col width="16" customWidth="1" min="7" max="7"/>
    <col width="14" customWidth="1" min="8" max="8"/>
    <col width="28" customWidth="1" min="9" max="9"/>
  </cols>
  <sheetData>
    <row r="1" ht="26" customHeight="1">
      <c r="A1" s="1" t="inlineStr">
        <is>
          <t>Stima Effort — Servizi a Canone e T&amp;M</t>
        </is>
      </c>
    </row>
    <row r="2" ht="16" customHeight="1">
      <c r="A2" s="2" t="inlineStr">
        <is>
          <t>Effort calcolato in GG/U. Riferimenti a Sheet '0. Parametri'. Periodo base = startup 3m + operativo 36m.</t>
        </is>
      </c>
    </row>
    <row r="3"/>
    <row r="4" ht="30" customHeight="1">
      <c r="A4" s="3" t="inlineStr">
        <is>
          <t>Servizio</t>
        </is>
      </c>
      <c r="B4" s="3" t="inlineStr">
        <is>
          <t>Capability / Profilo</t>
        </is>
      </c>
      <c r="C4" s="3" t="inlineStr">
        <is>
          <t>Driver di calcolo</t>
        </is>
      </c>
      <c r="D4" s="3" t="inlineStr">
        <is>
          <t>Formula / Volume</t>
        </is>
      </c>
      <c r="E4" s="3" t="inlineStr">
        <is>
          <t>GG/U Anno</t>
        </is>
      </c>
      <c r="F4" s="3" t="inlineStr">
        <is>
          <t>GG/U Startup (3m)</t>
        </is>
      </c>
      <c r="G4" s="3" t="inlineStr">
        <is>
          <t>GG/U Periodo Base 36m</t>
        </is>
      </c>
      <c r="H4" s="3" t="inlineStr">
        <is>
          <t>GG/U Totale 39m</t>
        </is>
      </c>
      <c r="I4" s="3" t="inlineStr">
        <is>
          <t>Metodo / Fonte</t>
        </is>
      </c>
    </row>
    <row r="5" ht="22" customHeight="1">
      <c r="A5" s="4" t="inlineStr">
        <is>
          <t>A.1 SERVIZI CANONE — Effort operativo necessario (anno tipo) calcolato da driver</t>
        </is>
      </c>
    </row>
    <row r="6" ht="30" customHeight="1">
      <c r="A6" s="25" t="inlineStr">
        <is>
          <t>MAC</t>
        </is>
      </c>
      <c r="B6" s="6" t="inlineStr">
        <is>
          <t>Manutenzione Correttiva (mix profili)</t>
        </is>
      </c>
      <c r="C6" s="9" t="inlineStr">
        <is>
          <t>Ticket × distribuzione × effort</t>
        </is>
      </c>
      <c r="D6" s="9" t="inlineStr">
        <is>
          <t>(N×%P1×h1+...+N×%P4×h4)/8</t>
        </is>
      </c>
      <c r="E6" s="26">
        <f>('0. Parametri'!$D$37*'0. Parametri'!$D$38*'0. Parametri'!$D$42+'0. Parametri'!$D$37*'0. Parametri'!$D$39*'0. Parametri'!$D$43+'0. Parametri'!$D$37*'0. Parametri'!$D$40*'0. Parametri'!$D$44+'0. Parametri'!$D$37*'0. Parametri'!$D$41*'0. Parametri'!$D$45)/'0. Parametri'!$D$46</f>
        <v/>
      </c>
      <c r="F6" s="26">
        <f>0</f>
        <v/>
      </c>
      <c r="G6" s="26">
        <f>E6*3</f>
        <v/>
      </c>
      <c r="H6" s="27">
        <f>F6+G6</f>
        <v/>
      </c>
      <c r="I6" s="9" t="n"/>
    </row>
    <row r="7" ht="30" customHeight="1">
      <c r="A7" s="25" t="inlineStr">
        <is>
          <t>REP</t>
        </is>
      </c>
      <c r="B7" s="6" t="inlineStr">
        <is>
          <t>Reperibilità (BE+FE)</t>
        </is>
      </c>
      <c r="C7" s="9" t="inlineStr">
        <is>
          <t>Chiamate × ore + eventi speciali</t>
        </is>
      </c>
      <c r="D7" s="9" t="inlineStr">
        <is>
          <t>(12×ch×3h+24gg×2×8h)/8</t>
        </is>
      </c>
      <c r="E7" s="26">
        <f>('0. Parametri'!$D$48*12*'0. Parametri'!$D$49+'0. Parametri'!$D$50*'0. Parametri'!$D$51*'0. Parametri'!$D$52)/'0. Parametri'!$D$46</f>
        <v/>
      </c>
      <c r="F7" s="26">
        <f>0</f>
        <v/>
      </c>
      <c r="G7" s="26">
        <f>E7*3</f>
        <v/>
      </c>
      <c r="H7" s="27">
        <f>F7+G7</f>
        <v/>
      </c>
      <c r="I7" s="9" t="n"/>
    </row>
    <row r="8" ht="30" customHeight="1">
      <c r="A8" s="28" t="inlineStr">
        <is>
          <t>GES</t>
        </is>
      </c>
      <c r="B8" s="19" t="inlineStr">
        <is>
          <t>Gestione App / DB</t>
        </is>
      </c>
      <c r="C8" s="22" t="inlineStr">
        <is>
          <t>Attività × effort</t>
        </is>
      </c>
      <c r="D8" s="22" t="inlineStr">
        <is>
          <t>20×5</t>
        </is>
      </c>
      <c r="E8" s="29">
        <f>'0. Parametri'!$D$53*'0. Parametri'!$D$54</f>
        <v/>
      </c>
      <c r="F8" s="29">
        <f>0</f>
        <v/>
      </c>
      <c r="G8" s="29">
        <f>E8*3</f>
        <v/>
      </c>
      <c r="H8" s="30">
        <f>F8+G8</f>
        <v/>
      </c>
      <c r="I8" s="22" t="n"/>
    </row>
    <row r="9" ht="30" customHeight="1">
      <c r="A9" s="28" t="inlineStr">
        <is>
          <t>GST</t>
        </is>
      </c>
      <c r="B9" s="19" t="inlineStr">
        <is>
          <t>Gestione Standard</t>
        </is>
      </c>
      <c r="C9" s="22" t="inlineStr">
        <is>
          <t>Attività × effort</t>
        </is>
      </c>
      <c r="D9" s="22" t="inlineStr">
        <is>
          <t>50×2</t>
        </is>
      </c>
      <c r="E9" s="29">
        <f>'0. Parametri'!$D$55*'0. Parametri'!$D$56</f>
        <v/>
      </c>
      <c r="F9" s="29">
        <f>0</f>
        <v/>
      </c>
      <c r="G9" s="29">
        <f>E9*3</f>
        <v/>
      </c>
      <c r="H9" s="30">
        <f>F9+G9</f>
        <v/>
      </c>
      <c r="I9" s="22" t="n"/>
    </row>
    <row r="10" ht="30" customHeight="1">
      <c r="A10" s="28" t="inlineStr">
        <is>
          <t>CON</t>
        </is>
      </c>
      <c r="B10" s="19" t="inlineStr">
        <is>
          <t>Conferimento (tot. 39 mesi)</t>
        </is>
      </c>
      <c r="C10" s="22" t="inlineStr">
        <is>
          <t>App × effort onboarding</t>
        </is>
      </c>
      <c r="D10" s="22" t="inlineStr">
        <is>
          <t>5×30 = 150 GG/U TOT</t>
        </is>
      </c>
      <c r="E10" s="29">
        <f>('0. Parametri'!$D$57*'0. Parametri'!$D$58)/3</f>
        <v/>
      </c>
      <c r="F10" s="29">
        <f>0</f>
        <v/>
      </c>
      <c r="G10" s="29">
        <f>'0. Parametri'!$D$57*'0. Parametri'!$D$58</f>
        <v/>
      </c>
      <c r="H10" s="30">
        <f>F10+G10</f>
        <v/>
      </c>
      <c r="I10" s="22" t="n"/>
    </row>
    <row r="11" ht="22" customHeight="1">
      <c r="A11" s="31" t="inlineStr">
        <is>
          <t>—</t>
        </is>
      </c>
      <c r="B11" s="32" t="inlineStr">
        <is>
          <t>SUBTOTALE EFFORT OPERATIVO RICHIESTO (driver-based)</t>
        </is>
      </c>
      <c r="C11" s="33" t="inlineStr">
        <is>
          <t>Somma MAC+REP+GES+GST+CON</t>
        </is>
      </c>
      <c r="D11" s="34" t="inlineStr"/>
      <c r="E11" s="35">
        <f>SUM(E6:E10)</f>
        <v/>
      </c>
      <c r="F11" s="35">
        <f>SUM(F6:F10)</f>
        <v/>
      </c>
      <c r="G11" s="35">
        <f>SUM(G6:G10)</f>
        <v/>
      </c>
      <c r="H11" s="35">
        <f>SUM(H6:H10)</f>
        <v/>
      </c>
      <c r="I11" s="34" t="n"/>
    </row>
    <row r="12"/>
    <row r="13" ht="22" customHeight="1">
      <c r="A13" s="4" t="inlineStr">
        <is>
          <t>A.2 SERVIZI CANONE — Capacity team presidio fisso (Capitolato pp.13-14)</t>
        </is>
      </c>
    </row>
    <row r="14" ht="22" customHeight="1">
      <c r="A14" s="25" t="inlineStr">
        <is>
          <t>Canone</t>
        </is>
      </c>
      <c r="B14" s="6" t="inlineStr">
        <is>
          <t>Service Manager / PM</t>
        </is>
      </c>
      <c r="C14" s="9" t="inlineStr">
        <is>
          <t>Capacity team presidio</t>
        </is>
      </c>
      <c r="D14" s="9" t="inlineStr">
        <is>
          <t>1 risorsa × 220 GG/anno</t>
        </is>
      </c>
      <c r="E14" s="36">
        <f>'0. Parametri'!$D$24*'0. Parametri'!$D$60</f>
        <v/>
      </c>
      <c r="F14" s="26">
        <f>('0. Parametri'!$D$24*'0. Parametri'!$D$60)*'0. Parametri'!$D$64*('0. Parametri'!$D$61/12)</f>
        <v/>
      </c>
      <c r="G14" s="36">
        <f>('0. Parametri'!$D$24*'0. Parametri'!$D$60)*('0. Parametri'!$D$62/12)</f>
        <v/>
      </c>
      <c r="H14" s="37">
        <f>F14+G14</f>
        <v/>
      </c>
      <c r="I14" s="9" t="n"/>
    </row>
    <row r="15" ht="22" customHeight="1">
      <c r="A15" s="25" t="inlineStr">
        <is>
          <t>Canone</t>
        </is>
      </c>
      <c r="B15" s="6" t="inlineStr">
        <is>
          <t>Team Leader d'area</t>
        </is>
      </c>
      <c r="C15" s="9" t="inlineStr">
        <is>
          <t>Capacity team presidio</t>
        </is>
      </c>
      <c r="D15" s="9" t="inlineStr">
        <is>
          <t>4 risorse × 220 GG/anno</t>
        </is>
      </c>
      <c r="E15" s="36">
        <f>'0. Parametri'!$D$25*'0. Parametri'!$D$60</f>
        <v/>
      </c>
      <c r="F15" s="26">
        <f>('0. Parametri'!$D$25*'0. Parametri'!$D$60)*'0. Parametri'!$D$64*('0. Parametri'!$D$61/12)</f>
        <v/>
      </c>
      <c r="G15" s="36">
        <f>('0. Parametri'!$D$25*'0. Parametri'!$D$60)*('0. Parametri'!$D$62/12)</f>
        <v/>
      </c>
      <c r="H15" s="37">
        <f>F15+G15</f>
        <v/>
      </c>
      <c r="I15" s="9" t="n"/>
    </row>
    <row r="16" ht="22" customHeight="1">
      <c r="A16" s="25" t="inlineStr">
        <is>
          <t>Canone</t>
        </is>
      </c>
      <c r="B16" s="6" t="inlineStr">
        <is>
          <t>Technical Leader</t>
        </is>
      </c>
      <c r="C16" s="9" t="inlineStr">
        <is>
          <t>Capacity team presidio</t>
        </is>
      </c>
      <c r="D16" s="9" t="inlineStr">
        <is>
          <t>11 risorse × 220 GG/anno</t>
        </is>
      </c>
      <c r="E16" s="36">
        <f>'0. Parametri'!$D$26*'0. Parametri'!$D$60</f>
        <v/>
      </c>
      <c r="F16" s="26">
        <f>('0. Parametri'!$D$26*'0. Parametri'!$D$60)*'0. Parametri'!$D$64*('0. Parametri'!$D$61/12)</f>
        <v/>
      </c>
      <c r="G16" s="36">
        <f>('0. Parametri'!$D$26*'0. Parametri'!$D$60)*('0. Parametri'!$D$62/12)</f>
        <v/>
      </c>
      <c r="H16" s="37">
        <f>F16+G16</f>
        <v/>
      </c>
      <c r="I16" s="9" t="n"/>
    </row>
    <row r="17" ht="22" customHeight="1">
      <c r="A17" s="25" t="inlineStr">
        <is>
          <t>Canone</t>
        </is>
      </c>
      <c r="B17" s="6" t="inlineStr">
        <is>
          <t>Analista Programmatore (canone)</t>
        </is>
      </c>
      <c r="C17" s="9" t="inlineStr">
        <is>
          <t>Capacity team presidio</t>
        </is>
      </c>
      <c r="D17" s="9" t="inlineStr">
        <is>
          <t>12 risorse × 220 GG/anno</t>
        </is>
      </c>
      <c r="E17" s="36">
        <f>'0. Parametri'!$D$27*'0. Parametri'!$D$60</f>
        <v/>
      </c>
      <c r="F17" s="26">
        <f>('0. Parametri'!$D$27*'0. Parametri'!$D$60)*'0. Parametri'!$D$64*('0. Parametri'!$D$61/12)</f>
        <v/>
      </c>
      <c r="G17" s="36">
        <f>('0. Parametri'!$D$27*'0. Parametri'!$D$60)*('0. Parametri'!$D$62/12)</f>
        <v/>
      </c>
      <c r="H17" s="37">
        <f>F17+G17</f>
        <v/>
      </c>
      <c r="I17" s="9" t="n"/>
    </row>
    <row r="18" ht="22" customHeight="1">
      <c r="A18" s="25" t="inlineStr">
        <is>
          <t>Canone</t>
        </is>
      </c>
      <c r="B18" s="6" t="inlineStr">
        <is>
          <t>Programmatore (canone)</t>
        </is>
      </c>
      <c r="C18" s="9" t="inlineStr">
        <is>
          <t>Capacity team presidio</t>
        </is>
      </c>
      <c r="D18" s="9" t="inlineStr">
        <is>
          <t>14 risorse × 220 GG/anno</t>
        </is>
      </c>
      <c r="E18" s="36">
        <f>'0. Parametri'!$D$28*'0. Parametri'!$D$60</f>
        <v/>
      </c>
      <c r="F18" s="26">
        <f>('0. Parametri'!$D$28*'0. Parametri'!$D$60)*'0. Parametri'!$D$64*('0. Parametri'!$D$61/12)</f>
        <v/>
      </c>
      <c r="G18" s="36">
        <f>('0. Parametri'!$D$28*'0. Parametri'!$D$60)*('0. Parametri'!$D$62/12)</f>
        <v/>
      </c>
      <c r="H18" s="37">
        <f>F18+G18</f>
        <v/>
      </c>
      <c r="I18" s="9" t="n"/>
    </row>
    <row r="19" ht="22" customHeight="1">
      <c r="A19" s="31" t="inlineStr">
        <is>
          <t>—</t>
        </is>
      </c>
      <c r="B19" s="32" t="inlineStr">
        <is>
          <t>TOTALE CAPACITY PRESIDIO (42 risorse)</t>
        </is>
      </c>
      <c r="C19" s="33" t="inlineStr">
        <is>
          <t>Somma profili canone</t>
        </is>
      </c>
      <c r="D19" s="34" t="inlineStr"/>
      <c r="E19" s="35">
        <f>SUM(E14:E18)</f>
        <v/>
      </c>
      <c r="F19" s="35">
        <f>SUM(F14:F18)</f>
        <v/>
      </c>
      <c r="G19" s="35">
        <f>SUM(G14:G18)</f>
        <v/>
      </c>
      <c r="H19" s="35">
        <f>SUM(H14:H18)</f>
        <v/>
      </c>
      <c r="I19" s="34" t="n"/>
    </row>
    <row r="20" ht="38" customHeight="1">
      <c r="A20" s="38" t="inlineStr">
        <is>
          <t>NOTA: capacity presidio (=19-questa) DEVE coprire l'effort operativo richiesto (=11). Il delta rappresenta capacità libera per: gestione picchi, on-call backup, turn over, training, audit, attività non quantificate. Il canone PAGA il presidio (FTE), non l'effort puntuale. Il margine è guidato dal costo del team minimo, non dal volume MAC/REP.</t>
        </is>
      </c>
    </row>
    <row r="21"/>
    <row r="22" ht="22" customHeight="1">
      <c r="A22" s="10" t="inlineStr">
        <is>
          <t>A.3 SERVIZI T&amp;M — Volumi Capitolato p.36 (scelta S1) — BLOCCANTE: incoerenza Disciplinare</t>
        </is>
      </c>
    </row>
    <row r="23" ht="22" customHeight="1">
      <c r="A23" s="39" t="inlineStr">
        <is>
          <t>T&amp;M</t>
        </is>
      </c>
      <c r="B23" s="12" t="inlineStr">
        <is>
          <t>Architetto Applicativo (T&amp;M)</t>
        </is>
      </c>
      <c r="C23" s="15" t="inlineStr">
        <is>
          <t>Volumi indicativi Capitolato</t>
        </is>
      </c>
      <c r="D23" s="15" t="inlineStr">
        <is>
          <t>20 GG/U/anno × 3 anni</t>
        </is>
      </c>
      <c r="E23" s="40">
        <f>'0. Parametri'!$D$19</f>
        <v/>
      </c>
      <c r="F23" s="40" t="n">
        <v>0</v>
      </c>
      <c r="G23" s="40">
        <f>'0. Parametri'!$D$19*'0. Parametri'!$D$62/12</f>
        <v/>
      </c>
      <c r="H23" s="41">
        <f>F23+G23</f>
        <v/>
      </c>
      <c r="I23" s="15" t="n"/>
    </row>
    <row r="24" ht="22" customHeight="1">
      <c r="A24" s="39" t="inlineStr">
        <is>
          <t>T&amp;M</t>
        </is>
      </c>
      <c r="B24" s="12" t="inlineStr">
        <is>
          <t>TL/Analista funzionale (T&amp;M) — scelta S2</t>
        </is>
      </c>
      <c r="C24" s="15" t="inlineStr">
        <is>
          <t>Volumi indicativi Capitolato</t>
        </is>
      </c>
      <c r="D24" s="15" t="inlineStr">
        <is>
          <t>200 GG/U/anno × 3</t>
        </is>
      </c>
      <c r="E24" s="40">
        <f>'0. Parametri'!$D$20</f>
        <v/>
      </c>
      <c r="F24" s="40" t="n">
        <v>0</v>
      </c>
      <c r="G24" s="40">
        <f>'0. Parametri'!$D$20*'0. Parametri'!$D$62/12</f>
        <v/>
      </c>
      <c r="H24" s="41">
        <f>F24+G24</f>
        <v/>
      </c>
      <c r="I24" s="15" t="n"/>
    </row>
    <row r="25" ht="22" customHeight="1">
      <c r="A25" s="39" t="inlineStr">
        <is>
          <t>T&amp;M</t>
        </is>
      </c>
      <c r="B25" s="12" t="inlineStr">
        <is>
          <t>Analista Programmatore (T&amp;M)</t>
        </is>
      </c>
      <c r="C25" s="15" t="inlineStr">
        <is>
          <t>Volumi indicativi Capitolato</t>
        </is>
      </c>
      <c r="D25" s="15" t="inlineStr">
        <is>
          <t>500 GG/U/anno × 3</t>
        </is>
      </c>
      <c r="E25" s="40">
        <f>'0. Parametri'!$D$21</f>
        <v/>
      </c>
      <c r="F25" s="40" t="n">
        <v>0</v>
      </c>
      <c r="G25" s="40">
        <f>'0. Parametri'!$D$21*'0. Parametri'!$D$62/12</f>
        <v/>
      </c>
      <c r="H25" s="41">
        <f>F25+G25</f>
        <v/>
      </c>
      <c r="I25" s="15" t="n"/>
    </row>
    <row r="26" ht="22" customHeight="1">
      <c r="A26" s="39" t="inlineStr">
        <is>
          <t>T&amp;M</t>
        </is>
      </c>
      <c r="B26" s="12" t="inlineStr">
        <is>
          <t>Programmatore (T&amp;M)</t>
        </is>
      </c>
      <c r="C26" s="15" t="inlineStr">
        <is>
          <t>Volumi indicativi Capitolato</t>
        </is>
      </c>
      <c r="D26" s="15" t="inlineStr">
        <is>
          <t>4.000 GG/U/anno × 3</t>
        </is>
      </c>
      <c r="E26" s="40">
        <f>'0. Parametri'!$D$22</f>
        <v/>
      </c>
      <c r="F26" s="40" t="n">
        <v>0</v>
      </c>
      <c r="G26" s="40">
        <f>'0. Parametri'!$D$22*'0. Parametri'!$D$62/12</f>
        <v/>
      </c>
      <c r="H26" s="41">
        <f>F26+G26</f>
        <v/>
      </c>
      <c r="I26" s="15" t="n"/>
    </row>
    <row r="27" ht="22" customHeight="1">
      <c r="A27" s="31" t="inlineStr">
        <is>
          <t>—</t>
        </is>
      </c>
      <c r="B27" s="32" t="inlineStr">
        <is>
          <t>TOTALE T&amp;M (volumi Capitolato)</t>
        </is>
      </c>
      <c r="C27" s="33" t="inlineStr">
        <is>
          <t>Somma 4 profili T&amp;M</t>
        </is>
      </c>
      <c r="D27" s="34" t="inlineStr"/>
      <c r="E27" s="42">
        <f>SUM(E23:E26)</f>
        <v/>
      </c>
      <c r="F27" s="42">
        <f>SUM(F23:F26)</f>
        <v/>
      </c>
      <c r="G27" s="42">
        <f>SUM(G23:G26)</f>
        <v/>
      </c>
      <c r="H27" s="42">
        <f>SUM(H23:H26)</f>
        <v/>
      </c>
      <c r="I27" s="34" t="n"/>
    </row>
  </sheetData>
  <mergeCells count="6">
    <mergeCell ref="A2:I2"/>
    <mergeCell ref="A5:I5"/>
    <mergeCell ref="A13:I13"/>
    <mergeCell ref="A1:I1"/>
    <mergeCell ref="A22:I22"/>
    <mergeCell ref="A20:I20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8" customWidth="1" min="1" max="1"/>
    <col width="28" customWidth="1" min="2" max="2"/>
    <col width="18" customWidth="1" min="3" max="3"/>
    <col width="12" customWidth="1" min="4" max="4"/>
    <col width="18" customWidth="1" min="5" max="5"/>
    <col width="22" customWidth="1" min="6" max="6"/>
    <col width="30" customWidth="1" min="7" max="7"/>
  </cols>
  <sheetData>
    <row r="1" ht="26" customHeight="1">
      <c r="A1" s="1" t="inlineStr">
        <is>
          <t>Cost Model — Ricavi, Costi, Margine</t>
        </is>
      </c>
    </row>
    <row r="2" ht="16" customHeight="1">
      <c r="A2" s="2" t="inlineStr">
        <is>
          <t>Tutti i valori sono formule che linkano '0. Parametri' e 'A. Stima Effort'. Modifica i parametri per ricalcolare.</t>
        </is>
      </c>
    </row>
    <row r="3"/>
    <row r="4" ht="22" customHeight="1">
      <c r="A4" s="4" t="inlineStr">
        <is>
          <t>B.1 RICAVI</t>
        </is>
      </c>
    </row>
    <row r="5" ht="26" customHeight="1">
      <c r="A5" s="3" t="inlineStr">
        <is>
          <t>Voce</t>
        </is>
      </c>
      <c r="B5" s="3" t="inlineStr">
        <is>
          <t>Calcolo</t>
        </is>
      </c>
      <c r="C5" s="3" t="inlineStr">
        <is>
          <t>Lordo (pre ribasso)</t>
        </is>
      </c>
      <c r="D5" s="3" t="inlineStr">
        <is>
          <t>% Ribasso</t>
        </is>
      </c>
      <c r="E5" s="3" t="inlineStr">
        <is>
          <t>Netto (post ribasso)</t>
        </is>
      </c>
      <c r="F5" s="3" t="inlineStr">
        <is>
          <t>Riferimento</t>
        </is>
      </c>
      <c r="G5" s="3" t="inlineStr">
        <is>
          <t>Note</t>
        </is>
      </c>
    </row>
    <row r="6" ht="24" customHeight="1">
      <c r="A6" s="43" t="inlineStr">
        <is>
          <t>Ricavo Startup (3 mesi)</t>
        </is>
      </c>
      <c r="B6" s="9" t="inlineStr">
        <is>
          <t>Una tantum</t>
        </is>
      </c>
      <c r="C6" s="44">
        <f>'0. Parametri'!$D$7</f>
        <v/>
      </c>
      <c r="D6" s="8" t="inlineStr">
        <is>
          <t>n.a.</t>
        </is>
      </c>
      <c r="E6" s="45">
        <f>C6</f>
        <v/>
      </c>
      <c r="F6" s="9" t="n"/>
      <c r="G6" s="9" t="n"/>
    </row>
    <row r="7" ht="24" customHeight="1">
      <c r="A7" s="46" t="inlineStr">
        <is>
          <t>Ricavo Canone Periodo Base (36m)</t>
        </is>
      </c>
      <c r="B7" s="22" t="inlineStr">
        <is>
          <t>Lordo × (1 - ribasso)</t>
        </is>
      </c>
      <c r="C7" s="47">
        <f>'0. Parametri'!$D$8</f>
        <v/>
      </c>
      <c r="D7" s="48">
        <f>'0. Parametri'!$D$66</f>
        <v/>
      </c>
      <c r="E7" s="49">
        <f>C7*(1-D7)</f>
        <v/>
      </c>
      <c r="F7" s="22" t="n"/>
      <c r="G7" s="22" t="n"/>
    </row>
    <row r="8" ht="24" customHeight="1">
      <c r="A8" s="50" t="inlineStr">
        <is>
          <t>Ricavo T&amp;M Periodo Base (36m) — Capitolato</t>
        </is>
      </c>
      <c r="B8" s="15" t="inlineStr">
        <is>
          <t>Σ(volumi × tariffe) × ribasso</t>
        </is>
      </c>
      <c r="C8" s="51">
        <f>('0. Parametri'!$D$19*'0. Parametri'!$D$14+'0. Parametri'!$D$20*'0. Parametri'!$D$15+'0. Parametri'!$D$21*'0. Parametri'!$D$16+'0. Parametri'!$D$22*'0. Parametri'!$D$17)*('0. Parametri'!$D$62/12)</f>
        <v/>
      </c>
      <c r="D8" s="52">
        <f>'0. Parametri'!$D$67</f>
        <v/>
      </c>
      <c r="E8" s="53">
        <f>C8*(1-D8)</f>
        <v/>
      </c>
      <c r="F8" s="15" t="n"/>
      <c r="G8" s="15" t="n"/>
    </row>
    <row r="9" ht="18" customHeight="1">
      <c r="A9" s="54" t="inlineStr">
        <is>
          <t>(Info) Plafond T&amp;M residuo non utilizzato</t>
        </is>
      </c>
      <c r="B9" s="54">
        <f> Plafond - Ricavo T&amp;M</f>
        <v/>
      </c>
      <c r="C9" s="55">
        <f>MAX(0,'0. Parametri'!$D$9-C8)</f>
        <v/>
      </c>
      <c r="D9" s="54" t="inlineStr"/>
      <c r="E9" s="54" t="inlineStr"/>
      <c r="F9" s="54" t="n"/>
      <c r="G9" s="54" t="n"/>
    </row>
    <row r="10" ht="24" customHeight="1">
      <c r="A10" s="43" t="inlineStr">
        <is>
          <t>Oneri sicurezza</t>
        </is>
      </c>
      <c r="B10" s="9" t="inlineStr">
        <is>
          <t>Non ribassabili</t>
        </is>
      </c>
      <c r="C10" s="44">
        <f>'0. Parametri'!$D$12</f>
        <v/>
      </c>
      <c r="D10" s="8" t="inlineStr">
        <is>
          <t>n.a.</t>
        </is>
      </c>
      <c r="E10" s="45">
        <f>C10</f>
        <v/>
      </c>
      <c r="F10" s="9" t="n"/>
      <c r="G10" s="9" t="n"/>
    </row>
    <row r="11" ht="22" customHeight="1">
      <c r="A11" s="32" t="inlineStr">
        <is>
          <t>TOTALE RICAVI 39 MESI (post ribasso)</t>
        </is>
      </c>
      <c r="B11" s="33" t="inlineStr">
        <is>
          <t>Somma startup + canone + T&amp;M + sicurezza</t>
        </is>
      </c>
      <c r="C11" s="56">
        <f>C6+C7+C8+C10</f>
        <v/>
      </c>
      <c r="D11" s="34" t="inlineStr"/>
      <c r="E11" s="56">
        <f>E6+E7+E8+E10</f>
        <v/>
      </c>
      <c r="F11" s="34" t="n"/>
      <c r="G11" s="34" t="n"/>
    </row>
    <row r="12"/>
    <row r="13" ht="22" customHeight="1">
      <c r="A13" s="10" t="inlineStr">
        <is>
          <t>B.2 COSTI DIRETTI</t>
        </is>
      </c>
    </row>
    <row r="14" ht="22" customHeight="1">
      <c r="A14" s="3" t="inlineStr">
        <is>
          <t>Voce</t>
        </is>
      </c>
      <c r="B14" s="3" t="inlineStr">
        <is>
          <t>Calcolo</t>
        </is>
      </c>
      <c r="C14" s="3" t="inlineStr">
        <is>
          <t>Costo Totale</t>
        </is>
      </c>
      <c r="D14" s="3" t="inlineStr">
        <is>
          <t>%</t>
        </is>
      </c>
      <c r="E14" s="3" t="inlineStr">
        <is>
          <t>Valore (€)</t>
        </is>
      </c>
      <c r="F14" s="3" t="n"/>
      <c r="G14" s="3" t="n"/>
    </row>
    <row r="15" ht="22" customHeight="1">
      <c r="A15" s="46" t="inlineStr">
        <is>
          <t>Costo team Canone — Startup (3m, 60% capacity)</t>
        </is>
      </c>
      <c r="B15" s="22" t="inlineStr">
        <is>
          <t>Σ(N×€/GG) × 220 × (3/12) × 60%</t>
        </is>
      </c>
      <c r="C15" s="49">
        <f>('0. Parametri'!$D$24*'0. Parametri'!$D$30+'0. Parametri'!$D$25*'0. Parametri'!$D$31+'0. Parametri'!$D$26*'0. Parametri'!$D$32+'0. Parametri'!$D$27*'0. Parametri'!$D$33+'0. Parametri'!$D$28*'0. Parametri'!$D$34)*'0. Parametri'!$D$60*('0. Parametri'!$D$61/12)*'0. Parametri'!$D$64</f>
        <v/>
      </c>
      <c r="D15" s="57" t="inlineStr"/>
      <c r="E15" s="57" t="inlineStr"/>
      <c r="F15" s="22" t="n"/>
      <c r="G15" s="22" t="n"/>
    </row>
    <row r="16" ht="22" customHeight="1">
      <c r="A16" s="46" t="inlineStr">
        <is>
          <t>Costo team Canone — Periodo operativo (36m, 100%)</t>
        </is>
      </c>
      <c r="B16" s="22" t="inlineStr">
        <is>
          <t>Σ(N×€/GG) × 220 × (36/12)</t>
        </is>
      </c>
      <c r="C16" s="49">
        <f>('0. Parametri'!$D$24*'0. Parametri'!$D$30+'0. Parametri'!$D$25*'0. Parametri'!$D$31+'0. Parametri'!$D$26*'0. Parametri'!$D$32+'0. Parametri'!$D$27*'0. Parametri'!$D$33+'0. Parametri'!$D$28*'0. Parametri'!$D$34)*'0. Parametri'!$D$60*('0. Parametri'!$D$62/12)</f>
        <v/>
      </c>
      <c r="D16" s="57" t="inlineStr"/>
      <c r="E16" s="57" t="inlineStr"/>
      <c r="F16" s="22" t="n"/>
      <c r="G16" s="22" t="n"/>
    </row>
    <row r="17" ht="22" customHeight="1">
      <c r="A17" s="50" t="inlineStr">
        <is>
          <t>Costo T&amp;M — Periodo operativo (36m)</t>
        </is>
      </c>
      <c r="B17" s="15" t="inlineStr">
        <is>
          <t>Σ(volumi × €/GG interno) × 36/12</t>
        </is>
      </c>
      <c r="C17" s="53">
        <f>('0. Parametri'!$D$19*'0. Parametri'!$D$35+'0. Parametri'!$D$20*'0. Parametri'!$D$31+'0. Parametri'!$D$21*'0. Parametri'!$D$33+'0. Parametri'!$D$22*'0. Parametri'!$D$34)*('0. Parametri'!$D$62/12)</f>
        <v/>
      </c>
      <c r="D17" s="58" t="inlineStr"/>
      <c r="E17" s="58" t="inlineStr"/>
      <c r="F17" s="15" t="n"/>
      <c r="G17" s="15" t="n"/>
    </row>
    <row r="18" ht="22" customHeight="1">
      <c r="A18" s="32" t="inlineStr">
        <is>
          <t>TOTALE COSTI DIRETTI 39 MESI</t>
        </is>
      </c>
      <c r="B18" s="33">
        <f> Startup + Canone op + T&amp;M</f>
        <v/>
      </c>
      <c r="C18" s="56">
        <f>C15+C16+C17</f>
        <v/>
      </c>
      <c r="D18" s="34" t="inlineStr"/>
      <c r="E18" s="34" t="inlineStr"/>
      <c r="F18" s="34" t="n"/>
      <c r="G18" s="34" t="n"/>
    </row>
    <row r="19"/>
    <row r="20" ht="22" customHeight="1">
      <c r="A20" s="17" t="inlineStr">
        <is>
          <t>B.3 COSTI INDIRETTI</t>
        </is>
      </c>
    </row>
    <row r="21" ht="22" customHeight="1">
      <c r="A21" s="3" t="inlineStr">
        <is>
          <t>Voce</t>
        </is>
      </c>
      <c r="B21" s="3" t="inlineStr">
        <is>
          <t>Calcolo</t>
        </is>
      </c>
      <c r="C21" s="3" t="inlineStr">
        <is>
          <t>Costo Totale</t>
        </is>
      </c>
      <c r="D21" s="3" t="inlineStr">
        <is>
          <t>%</t>
        </is>
      </c>
      <c r="E21" s="3" t="inlineStr">
        <is>
          <t>Valore (€)</t>
        </is>
      </c>
      <c r="F21" s="3" t="n"/>
      <c r="G21" s="3" t="n"/>
    </row>
    <row r="22" ht="22" customHeight="1">
      <c r="A22" s="46" t="inlineStr">
        <is>
          <t>Overhead Project Management</t>
        </is>
      </c>
      <c r="B22" s="22" t="inlineStr">
        <is>
          <t>% × Costi Diretti</t>
        </is>
      </c>
      <c r="C22" s="49">
        <f>C18*'0. Parametri'!$D$70</f>
        <v/>
      </c>
      <c r="D22" s="57" t="inlineStr"/>
      <c r="E22" s="57" t="inlineStr"/>
      <c r="F22" s="22" t="n"/>
      <c r="G22" s="22" t="n"/>
    </row>
    <row r="23" ht="22" customHeight="1">
      <c r="A23" s="46" t="inlineStr">
        <is>
          <t>Contingency / Buffer rischio</t>
        </is>
      </c>
      <c r="B23" s="22" t="inlineStr">
        <is>
          <t>% × Costi Diretti</t>
        </is>
      </c>
      <c r="C23" s="49">
        <f>C18*'0. Parametri'!$D$71</f>
        <v/>
      </c>
      <c r="D23" s="57" t="inlineStr"/>
      <c r="E23" s="57" t="inlineStr"/>
      <c r="F23" s="22" t="n"/>
      <c r="G23" s="22" t="n"/>
    </row>
    <row r="24" ht="22" customHeight="1">
      <c r="A24" s="46" t="inlineStr">
        <is>
          <t>Effetto inflazione costo lavoro (anno 2-3)</t>
        </is>
      </c>
      <c r="B24" s="22" t="inlineStr">
        <is>
          <t>C.diretti × infl × (anni_medi)</t>
        </is>
      </c>
      <c r="C24" s="49">
        <f>C18*'0. Parametri'!$D$72*1.5</f>
        <v/>
      </c>
      <c r="D24" s="57" t="inlineStr"/>
      <c r="E24" s="57" t="inlineStr"/>
      <c r="F24" s="22" t="n"/>
      <c r="G24" s="22" t="n"/>
    </row>
    <row r="25" ht="22" customHeight="1">
      <c r="A25" s="32" t="inlineStr">
        <is>
          <t>TOTALE COSTI INDIRETTI</t>
        </is>
      </c>
      <c r="B25" s="33" t="inlineStr">
        <is>
          <t>Overhead + Contingency + Inflazione</t>
        </is>
      </c>
      <c r="C25" s="56">
        <f>C22+C23+C24</f>
        <v/>
      </c>
      <c r="D25" s="34" t="inlineStr"/>
      <c r="E25" s="34" t="inlineStr"/>
      <c r="F25" s="34" t="n"/>
      <c r="G25" s="34" t="n"/>
    </row>
    <row r="26"/>
    <row r="27" ht="22" customHeight="1">
      <c r="A27" s="59" t="inlineStr">
        <is>
          <t>B.4 MARGINE</t>
        </is>
      </c>
    </row>
    <row r="28" ht="22" customHeight="1">
      <c r="A28" s="60" t="inlineStr">
        <is>
          <t>TOTALE COSTI 39 MESI</t>
        </is>
      </c>
      <c r="B28" s="61" t="inlineStr">
        <is>
          <t>Diretti + Indiretti</t>
        </is>
      </c>
      <c r="C28" s="62">
        <f>C18+C25</f>
        <v/>
      </c>
      <c r="D28" s="63" t="inlineStr"/>
      <c r="E28" s="63" t="inlineStr"/>
      <c r="F28" s="63" t="n"/>
      <c r="G28" s="63" t="n"/>
    </row>
    <row r="29" ht="24" customHeight="1">
      <c r="A29" s="60" t="inlineStr">
        <is>
          <t>MARGINE LORDO 39 MESI (€)</t>
        </is>
      </c>
      <c r="B29" s="61" t="inlineStr">
        <is>
          <t>Ricavi netti - Costi totali</t>
        </is>
      </c>
      <c r="C29" s="64">
        <f>E11-C28</f>
        <v/>
      </c>
      <c r="D29" s="63" t="inlineStr"/>
      <c r="E29" s="63" t="inlineStr"/>
      <c r="F29" s="63" t="n"/>
      <c r="G29" s="63" t="n"/>
    </row>
    <row r="30" ht="24" customHeight="1">
      <c r="A30" s="60" t="inlineStr">
        <is>
          <t>MARGINE LORDO 39 MESI (%)</t>
        </is>
      </c>
      <c r="B30" s="61" t="inlineStr">
        <is>
          <t>Margine / Ricavi netti</t>
        </is>
      </c>
      <c r="C30" s="65">
        <f>IF(E11=0,0,C29/E11)</f>
        <v/>
      </c>
      <c r="D30" s="63" t="inlineStr"/>
      <c r="E30" s="63" t="inlineStr"/>
      <c r="F30" s="63" t="n"/>
      <c r="G30" s="63" t="n"/>
    </row>
    <row r="31"/>
    <row r="32" ht="22" customHeight="1">
      <c r="A32" s="59" t="inlineStr">
        <is>
          <t>B.5 BREAKDOWN MARGINE PER COMPONENTE</t>
        </is>
      </c>
    </row>
    <row r="33" ht="22" customHeight="1">
      <c r="A33" s="3" t="inlineStr">
        <is>
          <t>Componente</t>
        </is>
      </c>
      <c r="B33" s="3" t="inlineStr">
        <is>
          <t>Ricavo (€)</t>
        </is>
      </c>
      <c r="C33" s="3" t="inlineStr">
        <is>
          <t>Costo (€)</t>
        </is>
      </c>
      <c r="D33" s="3" t="inlineStr">
        <is>
          <t>Margine (€)</t>
        </is>
      </c>
      <c r="E33" s="3" t="inlineStr">
        <is>
          <t>Margine (%)</t>
        </is>
      </c>
      <c r="F33" s="3" t="n"/>
    </row>
    <row r="34" ht="24" customHeight="1">
      <c r="A34" s="43" t="inlineStr">
        <is>
          <t>Startup</t>
        </is>
      </c>
      <c r="B34" s="44">
        <f>E6</f>
        <v/>
      </c>
      <c r="C34" s="44">
        <f>C15</f>
        <v/>
      </c>
      <c r="D34" s="45">
        <f>B34-C34</f>
        <v/>
      </c>
      <c r="E34" s="66">
        <f>IF(B34=0,0,D34/B34)</f>
        <v/>
      </c>
      <c r="F34" s="9" t="n"/>
    </row>
    <row r="35" ht="24" customHeight="1">
      <c r="A35" s="43" t="inlineStr">
        <is>
          <t>Canone presidio (36m)</t>
        </is>
      </c>
      <c r="B35" s="44">
        <f>E7</f>
        <v/>
      </c>
      <c r="C35" s="44">
        <f>C16</f>
        <v/>
      </c>
      <c r="D35" s="45">
        <f>B35-C35</f>
        <v/>
      </c>
      <c r="E35" s="66">
        <f>IF(B35=0,0,D35/B35)</f>
        <v/>
      </c>
      <c r="F35" s="9" t="n"/>
    </row>
    <row r="36" ht="24" customHeight="1">
      <c r="A36" s="50" t="inlineStr">
        <is>
          <t>T&amp;M (36m, vol. Capitolato)</t>
        </is>
      </c>
      <c r="B36" s="51">
        <f>E8</f>
        <v/>
      </c>
      <c r="C36" s="51">
        <f>C17</f>
        <v/>
      </c>
      <c r="D36" s="53">
        <f>B36-C36</f>
        <v/>
      </c>
      <c r="E36" s="67">
        <f>IF(B36=0,0,D36/B36)</f>
        <v/>
      </c>
      <c r="F36" s="15" t="n"/>
    </row>
    <row r="37" ht="24" customHeight="1">
      <c r="A37" s="68" t="inlineStr">
        <is>
          <t>Sicurezza</t>
        </is>
      </c>
      <c r="B37" s="69">
        <f>E10</f>
        <v/>
      </c>
      <c r="C37" s="69">
        <f>0</f>
        <v/>
      </c>
      <c r="D37" s="70">
        <f>B37-C37</f>
        <v/>
      </c>
      <c r="E37" s="71">
        <f>IF(B37=0,0,D37/B37)</f>
        <v/>
      </c>
      <c r="F37" s="54" t="n"/>
    </row>
  </sheetData>
  <mergeCells count="7">
    <mergeCell ref="A4:H4"/>
    <mergeCell ref="A20:H20"/>
    <mergeCell ref="A2:H2"/>
    <mergeCell ref="A13:H13"/>
    <mergeCell ref="A1:H1"/>
    <mergeCell ref="A32:H32"/>
    <mergeCell ref="A27:H27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xSplit="1" ySplit="4" topLeftCell="B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4" customWidth="1" min="4" max="4"/>
    <col width="14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2" customWidth="1" min="11" max="11"/>
    <col width="26" customWidth="1" min="12" max="12"/>
  </cols>
  <sheetData>
    <row r="1" ht="26" customHeight="1">
      <c r="A1" s="1" t="inlineStr">
        <is>
          <t>Sensitivity Pricing — Margine al variare di ribasso e utilizzo plafond</t>
        </is>
      </c>
    </row>
    <row r="2" ht="16" customHeight="1">
      <c r="A2" s="2" t="inlineStr">
        <is>
          <t>Scenari calcolati ricostruendo la formula del margine; modifica i parametri in Sheet 0 e ricalcola.</t>
        </is>
      </c>
    </row>
    <row r="3"/>
    <row r="4" ht="22" customHeight="1">
      <c r="A4" s="59" t="inlineStr">
        <is>
          <t>C.1 — SCENARI PREDEFINITI</t>
        </is>
      </c>
    </row>
    <row r="5" ht="36" customHeight="1">
      <c r="A5" s="3" t="inlineStr">
        <is>
          <t>Scenario</t>
        </is>
      </c>
      <c r="B5" s="3" t="inlineStr">
        <is>
          <t>% Ribasso Canone</t>
        </is>
      </c>
      <c r="C5" s="3" t="inlineStr">
        <is>
          <t>% Ribasso T&amp;M</t>
        </is>
      </c>
      <c r="D5" s="3" t="inlineStr">
        <is>
          <t>% Utilizzo Plafond T&amp;M</t>
        </is>
      </c>
      <c r="E5" s="3" t="inlineStr">
        <is>
          <t>Volumi T&amp;M</t>
        </is>
      </c>
      <c r="F5" s="3" t="inlineStr">
        <is>
          <t>Ricavo Canone netto</t>
        </is>
      </c>
      <c r="G5" s="3" t="inlineStr">
        <is>
          <t>Ricavo T&amp;M netto</t>
        </is>
      </c>
      <c r="H5" s="3" t="inlineStr">
        <is>
          <t>Tot Ricavi 39m</t>
        </is>
      </c>
      <c r="I5" s="3" t="inlineStr">
        <is>
          <t>Tot Costi 39m</t>
        </is>
      </c>
      <c r="J5" s="3" t="inlineStr">
        <is>
          <t>Margine €</t>
        </is>
      </c>
      <c r="K5" s="3" t="inlineStr">
        <is>
          <t>Margine %</t>
        </is>
      </c>
      <c r="L5" s="3" t="inlineStr">
        <is>
          <t>Note</t>
        </is>
      </c>
    </row>
    <row r="6" ht="24" customHeight="1">
      <c r="A6" s="72" t="inlineStr">
        <is>
          <t>Conservativo</t>
        </is>
      </c>
      <c r="B6" s="73" t="n">
        <v>0.05</v>
      </c>
      <c r="C6" s="73" t="n">
        <v>0.05</v>
      </c>
      <c r="D6" s="73" t="n">
        <v>0.7</v>
      </c>
      <c r="E6" s="74" t="inlineStr">
        <is>
          <t>Capitolato</t>
        </is>
      </c>
      <c r="F6" s="44">
        <f>'0. Parametri'!$D$8*(1-B6)</f>
        <v/>
      </c>
      <c r="G6" s="44">
        <f>(('0. Parametri'!$D$19*'0. Parametri'!$D$14+'0. Parametri'!$D$20*'0. Parametri'!$D$15+'0. Parametri'!$D$21*'0. Parametri'!$D$16+'0. Parametri'!$D$22*'0. Parametri'!$D$17)*('0. Parametri'!$D$62/12))*(1-C6)*D6</f>
        <v/>
      </c>
      <c r="H6" s="45">
        <f>'0. Parametri'!$D$7+F6+G6+'0. Parametri'!$D$12</f>
        <v/>
      </c>
      <c r="I6" s="45">
        <f>((('0. Parametri'!$D$24*'0. Parametri'!$D$30+'0. Parametri'!$D$25*'0. Parametri'!$D$31+'0. Parametri'!$D$26*'0. Parametri'!$D$32+'0. Parametri'!$D$27*'0. Parametri'!$D$33+'0. Parametri'!$D$28*'0. Parametri'!$D$34)*'0. Parametri'!$D$60*('0. Parametri'!$D$62/12+'0. Parametri'!$D$61/12*'0. Parametri'!$D$64))+(('0. Parametri'!$D$19*'0. Parametri'!$D$35+'0. Parametri'!$D$20*'0. Parametri'!$D$31+'0. Parametri'!$D$21*'0. Parametri'!$D$33+'0. Parametri'!$D$22*'0. Parametri'!$D$34)*('0. Parametri'!$D$62/12))*D6)*(1+('0. Parametri'!$D$70+'0. Parametri'!$D$71+'0. Parametri'!$D$72*1.5))</f>
        <v/>
      </c>
      <c r="J6" s="75">
        <f>H6-I6</f>
        <v/>
      </c>
      <c r="K6" s="76">
        <f>IF(H6=0,0,J6/H6)</f>
        <v/>
      </c>
      <c r="L6" s="77" t="n"/>
    </row>
    <row r="7" ht="24" customHeight="1">
      <c r="A7" s="78" t="inlineStr">
        <is>
          <t>Base</t>
        </is>
      </c>
      <c r="B7" s="79" t="n">
        <v>0.1</v>
      </c>
      <c r="C7" s="79" t="n">
        <v>0.08</v>
      </c>
      <c r="D7" s="79" t="n">
        <v>1</v>
      </c>
      <c r="E7" s="80" t="inlineStr">
        <is>
          <t>Capitolato</t>
        </is>
      </c>
      <c r="F7" s="81">
        <f>'0. Parametri'!$D$8*(1-B7)</f>
        <v/>
      </c>
      <c r="G7" s="81">
        <f>(('0. Parametri'!$D$19*'0. Parametri'!$D$14+'0. Parametri'!$D$20*'0. Parametri'!$D$15+'0. Parametri'!$D$21*'0. Parametri'!$D$16+'0. Parametri'!$D$22*'0. Parametri'!$D$17)*('0. Parametri'!$D$62/12))*(1-C7)*D7</f>
        <v/>
      </c>
      <c r="H7" s="82">
        <f>'0. Parametri'!$D$7+F7+G7+'0. Parametri'!$D$12</f>
        <v/>
      </c>
      <c r="I7" s="82">
        <f>((('0. Parametri'!$D$24*'0. Parametri'!$D$30+'0. Parametri'!$D$25*'0. Parametri'!$D$31+'0. Parametri'!$D$26*'0. Parametri'!$D$32+'0. Parametri'!$D$27*'0. Parametri'!$D$33+'0. Parametri'!$D$28*'0. Parametri'!$D$34)*'0. Parametri'!$D$60*('0. Parametri'!$D$62/12+'0. Parametri'!$D$61/12*'0. Parametri'!$D$64))+(('0. Parametri'!$D$19*'0. Parametri'!$D$35+'0. Parametri'!$D$20*'0. Parametri'!$D$31+'0. Parametri'!$D$21*'0. Parametri'!$D$33+'0. Parametri'!$D$22*'0. Parametri'!$D$34)*('0. Parametri'!$D$62/12))*D7)*(1+('0. Parametri'!$D$70+'0. Parametri'!$D$71+'0. Parametri'!$D$72*1.5))</f>
        <v/>
      </c>
      <c r="J7" s="83">
        <f>H7-I7</f>
        <v/>
      </c>
      <c r="K7" s="84">
        <f>IF(H7=0,0,J7/H7)</f>
        <v/>
      </c>
      <c r="L7" s="85" t="n"/>
    </row>
    <row r="8" ht="24" customHeight="1">
      <c r="A8" s="86" t="inlineStr">
        <is>
          <t>Aggressivo</t>
        </is>
      </c>
      <c r="B8" s="87" t="n">
        <v>0.15</v>
      </c>
      <c r="C8" s="87" t="n">
        <v>0.12</v>
      </c>
      <c r="D8" s="87" t="n">
        <v>1</v>
      </c>
      <c r="E8" s="88" t="inlineStr">
        <is>
          <t>Capitolato</t>
        </is>
      </c>
      <c r="F8" s="89">
        <f>'0. Parametri'!$D$8*(1-B8)</f>
        <v/>
      </c>
      <c r="G8" s="89">
        <f>(('0. Parametri'!$D$19*'0. Parametri'!$D$14+'0. Parametri'!$D$20*'0. Parametri'!$D$15+'0. Parametri'!$D$21*'0. Parametri'!$D$16+'0. Parametri'!$D$22*'0. Parametri'!$D$17)*('0. Parametri'!$D$62/12))*(1-C8)*D8</f>
        <v/>
      </c>
      <c r="H8" s="90">
        <f>'0. Parametri'!$D$7+F8+G8+'0. Parametri'!$D$12</f>
        <v/>
      </c>
      <c r="I8" s="90">
        <f>((('0. Parametri'!$D$24*'0. Parametri'!$D$30+'0. Parametri'!$D$25*'0. Parametri'!$D$31+'0. Parametri'!$D$26*'0. Parametri'!$D$32+'0. Parametri'!$D$27*'0. Parametri'!$D$33+'0. Parametri'!$D$28*'0. Parametri'!$D$34)*'0. Parametri'!$D$60*('0. Parametri'!$D$62/12+'0. Parametri'!$D$61/12*'0. Parametri'!$D$64))+(('0. Parametri'!$D$19*'0. Parametri'!$D$35+'0. Parametri'!$D$20*'0. Parametri'!$D$31+'0. Parametri'!$D$21*'0. Parametri'!$D$33+'0. Parametri'!$D$22*'0. Parametri'!$D$34)*('0. Parametri'!$D$62/12))*D8)*(1+('0. Parametri'!$D$70+'0. Parametri'!$D$71+'0. Parametri'!$D$72*1.5))</f>
        <v/>
      </c>
      <c r="J8" s="91">
        <f>H8-I8</f>
        <v/>
      </c>
      <c r="K8" s="92">
        <f>IF(H8=0,0,J8/H8)</f>
        <v/>
      </c>
      <c r="L8" s="93" t="n"/>
    </row>
    <row r="9" ht="24" customHeight="1">
      <c r="A9" s="94" t="inlineStr">
        <is>
          <t>Disciplinare-Plafond Conservativo</t>
        </is>
      </c>
      <c r="B9" s="95" t="n">
        <v>0.05</v>
      </c>
      <c r="C9" s="95" t="n">
        <v>0.05</v>
      </c>
      <c r="D9" s="95" t="n">
        <v>0.7</v>
      </c>
      <c r="E9" s="96" t="inlineStr">
        <is>
          <t>Plafond</t>
        </is>
      </c>
      <c r="F9" s="47">
        <f>'0. Parametri'!$D$8*(1-B9)</f>
        <v/>
      </c>
      <c r="G9" s="47">
        <f>('0. Parametri'!$D$9)*(1-C9)*D9</f>
        <v/>
      </c>
      <c r="H9" s="49">
        <f>'0. Parametri'!$D$7+F9+G9+'0. Parametri'!$D$12</f>
        <v/>
      </c>
      <c r="I9" s="49">
        <f>((('0. Parametri'!$D$24*'0. Parametri'!$D$30+'0. Parametri'!$D$25*'0. Parametri'!$D$31+'0. Parametri'!$D$26*'0. Parametri'!$D$32+'0. Parametri'!$D$27*'0. Parametri'!$D$33+'0. Parametri'!$D$28*'0. Parametri'!$D$34)*'0. Parametri'!$D$60*('0. Parametri'!$D$62/12+'0. Parametri'!$D$61/12*'0. Parametri'!$D$64))+(('0. Parametri'!$D$19*'0. Parametri'!$D$35+'0. Parametri'!$D$20*'0. Parametri'!$D$31+'0. Parametri'!$D$21*'0. Parametri'!$D$33+'0. Parametri'!$D$22*'0. Parametri'!$D$34)*('0. Parametri'!$D$62/12))*(('0. Parametri'!$D$9*D9)/('0. Parametri'!$D$19*'0. Parametri'!$D$14+'0. Parametri'!$D$20*'0. Parametri'!$D$15+'0. Parametri'!$D$21*'0. Parametri'!$D$16+'0. Parametri'!$D$22*'0. Parametri'!$D$17)*('0. Parametri'!$D$62/12)))*(1+('0. Parametri'!$D$70+'0. Parametri'!$D$71+'0. Parametri'!$D$72*1.5))</f>
        <v/>
      </c>
      <c r="J9" s="97">
        <f>H9-I9</f>
        <v/>
      </c>
      <c r="K9" s="98">
        <f>IF(H9=0,0,J9/H9)</f>
        <v/>
      </c>
      <c r="L9" s="99" t="n"/>
    </row>
    <row r="10" ht="24" customHeight="1">
      <c r="A10" s="94" t="inlineStr">
        <is>
          <t>Disciplinare-Plafond Base</t>
        </is>
      </c>
      <c r="B10" s="95" t="n">
        <v>0.1</v>
      </c>
      <c r="C10" s="95" t="n">
        <v>0.08</v>
      </c>
      <c r="D10" s="95" t="n">
        <v>1</v>
      </c>
      <c r="E10" s="96" t="inlineStr">
        <is>
          <t>Plafond</t>
        </is>
      </c>
      <c r="F10" s="47">
        <f>'0. Parametri'!$D$8*(1-B10)</f>
        <v/>
      </c>
      <c r="G10" s="47">
        <f>('0. Parametri'!$D$9)*(1-C10)*D10</f>
        <v/>
      </c>
      <c r="H10" s="49">
        <f>'0. Parametri'!$D$7+F10+G10+'0. Parametri'!$D$12</f>
        <v/>
      </c>
      <c r="I10" s="49">
        <f>((('0. Parametri'!$D$24*'0. Parametri'!$D$30+'0. Parametri'!$D$25*'0. Parametri'!$D$31+'0. Parametri'!$D$26*'0. Parametri'!$D$32+'0. Parametri'!$D$27*'0. Parametri'!$D$33+'0. Parametri'!$D$28*'0. Parametri'!$D$34)*'0. Parametri'!$D$60*('0. Parametri'!$D$62/12+'0. Parametri'!$D$61/12*'0. Parametri'!$D$64))+(('0. Parametri'!$D$19*'0. Parametri'!$D$35+'0. Parametri'!$D$20*'0. Parametri'!$D$31+'0. Parametri'!$D$21*'0. Parametri'!$D$33+'0. Parametri'!$D$22*'0. Parametri'!$D$34)*('0. Parametri'!$D$62/12))*(('0. Parametri'!$D$9*D10)/('0. Parametri'!$D$19*'0. Parametri'!$D$14+'0. Parametri'!$D$20*'0. Parametri'!$D$15+'0. Parametri'!$D$21*'0. Parametri'!$D$16+'0. Parametri'!$D$22*'0. Parametri'!$D$17)*('0. Parametri'!$D$62/12)))*(1+('0. Parametri'!$D$70+'0. Parametri'!$D$71+'0. Parametri'!$D$72*1.5))</f>
        <v/>
      </c>
      <c r="J10" s="97">
        <f>H10-I10</f>
        <v/>
      </c>
      <c r="K10" s="98">
        <f>IF(H10=0,0,J10/H10)</f>
        <v/>
      </c>
      <c r="L10" s="99" t="n"/>
    </row>
    <row r="11"/>
    <row r="12" ht="22" customHeight="1">
      <c r="A12" s="59" t="inlineStr">
        <is>
          <t>C.2 — MATRICE SENSITIVITY: Margine % per combinazioni Ribasso Canone × Ribasso T&amp;M (volumi Capitolato, utilizzo 100%)</t>
        </is>
      </c>
    </row>
    <row r="13" ht="24" customHeight="1">
      <c r="A13" s="31" t="inlineStr">
        <is>
          <t>Rib.Canone ↓ / Rib.T&amp;M →</t>
        </is>
      </c>
      <c r="B13" s="100" t="n">
        <v>0</v>
      </c>
      <c r="C13" s="100" t="n">
        <v>0.05</v>
      </c>
      <c r="D13" s="100" t="n">
        <v>0.08</v>
      </c>
      <c r="E13" s="100" t="n">
        <v>0.1</v>
      </c>
      <c r="F13" s="100" t="n">
        <v>0.15</v>
      </c>
    </row>
    <row r="14" ht="22" customHeight="1">
      <c r="A14" s="101" t="n">
        <v>0</v>
      </c>
      <c r="B14" s="102">
        <f>(('0. Parametri'!$D$7+'0. Parametri'!$D$8*(1-0.0)+(('0. Parametri'!$D$19*'0. Parametri'!$D$14+'0. Parametri'!$D$20*'0. Parametri'!$D$15+'0. Parametri'!$D$21*'0. Parametri'!$D$16+'0. Parametri'!$D$22*'0. Parametri'!$D$17)*('0. Parametri'!$D$62/12))*(1-0.0)+'0. Parametri'!$D$12)-((('0. Parametri'!$D$24*'0. Parametri'!$D$30+'0. Parametri'!$D$25*'0. Parametri'!$D$31+'0. Parametri'!$D$26*'0. Parametri'!$D$32+'0. Parametri'!$D$27*'0. Parametri'!$D$33+'0. Parametri'!$D$28*'0. Parametri'!$D$34)*'0. Parametri'!$D$60*('0. Parametri'!$D$62/12+'0. Parametri'!$D$61/12*'0. Parametri'!$D$64))+(('0. Parametri'!$D$19*'0. Parametri'!$D$35+'0. Parametri'!$D$20*'0. Parametri'!$D$31+'0. Parametri'!$D$21*'0. Parametri'!$D$33+'0. Parametri'!$D$22*'0. Parametri'!$D$34)*('0. Parametri'!$D$62/12)))*(1+('0. Parametri'!$D$70+'0. Parametri'!$D$71+'0. Parametri'!$D$72*1.5)))/('0. Parametri'!$D$7+'0. Parametri'!$D$8*(1-0.0)+(('0. Parametri'!$D$19*'0. Parametri'!$D$14+'0. Parametri'!$D$20*'0. Parametri'!$D$15+'0. Parametri'!$D$21*'0. Parametri'!$D$16+'0. Parametri'!$D$22*'0. Parametri'!$D$17)*('0. Parametri'!$D$62/12))*(1-0.0)+'0. Parametri'!$D$12)</f>
        <v/>
      </c>
      <c r="C14" s="102">
        <f>(('0. Parametri'!$D$7+'0. Parametri'!$D$8*(1-0.0)+(('0. Parametri'!$D$19*'0. Parametri'!$D$14+'0. Parametri'!$D$20*'0. Parametri'!$D$15+'0. Parametri'!$D$21*'0. Parametri'!$D$16+'0. Parametri'!$D$22*'0. Parametri'!$D$17)*('0. Parametri'!$D$62/12))*(1-0.05)+'0. Parametri'!$D$12)-((('0. Parametri'!$D$24*'0. Parametri'!$D$30+'0. Parametri'!$D$25*'0. Parametri'!$D$31+'0. Parametri'!$D$26*'0. Parametri'!$D$32+'0. Parametri'!$D$27*'0. Parametri'!$D$33+'0. Parametri'!$D$28*'0. Parametri'!$D$34)*'0. Parametri'!$D$60*('0. Parametri'!$D$62/12+'0. Parametri'!$D$61/12*'0. Parametri'!$D$64))+(('0. Parametri'!$D$19*'0. Parametri'!$D$35+'0. Parametri'!$D$20*'0. Parametri'!$D$31+'0. Parametri'!$D$21*'0. Parametri'!$D$33+'0. Parametri'!$D$22*'0. Parametri'!$D$34)*('0. Parametri'!$D$62/12)))*(1+('0. Parametri'!$D$70+'0. Parametri'!$D$71+'0. Parametri'!$D$72*1.5)))/('0. Parametri'!$D$7+'0. Parametri'!$D$8*(1-0.0)+(('0. Parametri'!$D$19*'0. Parametri'!$D$14+'0. Parametri'!$D$20*'0. Parametri'!$D$15+'0. Parametri'!$D$21*'0. Parametri'!$D$16+'0. Parametri'!$D$22*'0. Parametri'!$D$17)*('0. Parametri'!$D$62/12))*(1-0.05)+'0. Parametri'!$D$12)</f>
        <v/>
      </c>
      <c r="D14" s="102">
        <f>(('0. Parametri'!$D$7+'0. Parametri'!$D$8*(1-0.0)+(('0. Parametri'!$D$19*'0. Parametri'!$D$14+'0. Parametri'!$D$20*'0. Parametri'!$D$15+'0. Parametri'!$D$21*'0. Parametri'!$D$16+'0. Parametri'!$D$22*'0. Parametri'!$D$17)*('0. Parametri'!$D$62/12))*(1-0.08)+'0. Parametri'!$D$12)-((('0. Parametri'!$D$24*'0. Parametri'!$D$30+'0. Parametri'!$D$25*'0. Parametri'!$D$31+'0. Parametri'!$D$26*'0. Parametri'!$D$32+'0. Parametri'!$D$27*'0. Parametri'!$D$33+'0. Parametri'!$D$28*'0. Parametri'!$D$34)*'0. Parametri'!$D$60*('0. Parametri'!$D$62/12+'0. Parametri'!$D$61/12*'0. Parametri'!$D$64))+(('0. Parametri'!$D$19*'0. Parametri'!$D$35+'0. Parametri'!$D$20*'0. Parametri'!$D$31+'0. Parametri'!$D$21*'0. Parametri'!$D$33+'0. Parametri'!$D$22*'0. Parametri'!$D$34)*('0. Parametri'!$D$62/12)))*(1+('0. Parametri'!$D$70+'0. Parametri'!$D$71+'0. Parametri'!$D$72*1.5)))/('0. Parametri'!$D$7+'0. Parametri'!$D$8*(1-0.0)+(('0. Parametri'!$D$19*'0. Parametri'!$D$14+'0. Parametri'!$D$20*'0. Parametri'!$D$15+'0. Parametri'!$D$21*'0. Parametri'!$D$16+'0. Parametri'!$D$22*'0. Parametri'!$D$17)*('0. Parametri'!$D$62/12))*(1-0.08)+'0. Parametri'!$D$12)</f>
        <v/>
      </c>
      <c r="E14" s="102">
        <f>(('0. Parametri'!$D$7+'0. Parametri'!$D$8*(1-0.0)+(('0. Parametri'!$D$19*'0. Parametri'!$D$14+'0. Parametri'!$D$20*'0. Parametri'!$D$15+'0. Parametri'!$D$21*'0. Parametri'!$D$16+'0. Parametri'!$D$22*'0. Parametri'!$D$17)*('0. Parametri'!$D$62/12))*(1-0.1)+'0. Parametri'!$D$12)-((('0. Parametri'!$D$24*'0. Parametri'!$D$30+'0. Parametri'!$D$25*'0. Parametri'!$D$31+'0. Parametri'!$D$26*'0. Parametri'!$D$32+'0. Parametri'!$D$27*'0. Parametri'!$D$33+'0. Parametri'!$D$28*'0. Parametri'!$D$34)*'0. Parametri'!$D$60*('0. Parametri'!$D$62/12+'0. Parametri'!$D$61/12*'0. Parametri'!$D$64))+(('0. Parametri'!$D$19*'0. Parametri'!$D$35+'0. Parametri'!$D$20*'0. Parametri'!$D$31+'0. Parametri'!$D$21*'0. Parametri'!$D$33+'0. Parametri'!$D$22*'0. Parametri'!$D$34)*('0. Parametri'!$D$62/12)))*(1+('0. Parametri'!$D$70+'0. Parametri'!$D$71+'0. Parametri'!$D$72*1.5)))/('0. Parametri'!$D$7+'0. Parametri'!$D$8*(1-0.0)+(('0. Parametri'!$D$19*'0. Parametri'!$D$14+'0. Parametri'!$D$20*'0. Parametri'!$D$15+'0. Parametri'!$D$21*'0. Parametri'!$D$16+'0. Parametri'!$D$22*'0. Parametri'!$D$17)*('0. Parametri'!$D$62/12))*(1-0.1)+'0. Parametri'!$D$12)</f>
        <v/>
      </c>
      <c r="F14" s="102">
        <f>(('0. Parametri'!$D$7+'0. Parametri'!$D$8*(1-0.0)+(('0. Parametri'!$D$19*'0. Parametri'!$D$14+'0. Parametri'!$D$20*'0. Parametri'!$D$15+'0. Parametri'!$D$21*'0. Parametri'!$D$16+'0. Parametri'!$D$22*'0. Parametri'!$D$17)*('0. Parametri'!$D$62/12))*(1-0.15)+'0. Parametri'!$D$12)-((('0. Parametri'!$D$24*'0. Parametri'!$D$30+'0. Parametri'!$D$25*'0. Parametri'!$D$31+'0. Parametri'!$D$26*'0. Parametri'!$D$32+'0. Parametri'!$D$27*'0. Parametri'!$D$33+'0. Parametri'!$D$28*'0. Parametri'!$D$34)*'0. Parametri'!$D$60*('0. Parametri'!$D$62/12+'0. Parametri'!$D$61/12*'0. Parametri'!$D$64))+(('0. Parametri'!$D$19*'0. Parametri'!$D$35+'0. Parametri'!$D$20*'0. Parametri'!$D$31+'0. Parametri'!$D$21*'0. Parametri'!$D$33+'0. Parametri'!$D$22*'0. Parametri'!$D$34)*('0. Parametri'!$D$62/12)))*(1+('0. Parametri'!$D$70+'0. Parametri'!$D$71+'0. Parametri'!$D$72*1.5)))/('0. Parametri'!$D$7+'0. Parametri'!$D$8*(1-0.0)+(('0. Parametri'!$D$19*'0. Parametri'!$D$14+'0. Parametri'!$D$20*'0. Parametri'!$D$15+'0. Parametri'!$D$21*'0. Parametri'!$D$16+'0. Parametri'!$D$22*'0. Parametri'!$D$17)*('0. Parametri'!$D$62/12))*(1-0.15)+'0. Parametri'!$D$12)</f>
        <v/>
      </c>
    </row>
    <row r="15" ht="22" customHeight="1">
      <c r="A15" s="101" t="n">
        <v>0.05</v>
      </c>
      <c r="B15" s="102">
        <f>(('0. Parametri'!$D$7+'0. Parametri'!$D$8*(1-0.05)+(('0. Parametri'!$D$19*'0. Parametri'!$D$14+'0. Parametri'!$D$20*'0. Parametri'!$D$15+'0. Parametri'!$D$21*'0. Parametri'!$D$16+'0. Parametri'!$D$22*'0. Parametri'!$D$17)*('0. Parametri'!$D$62/12))*(1-0.0)+'0. Parametri'!$D$12)-((('0. Parametri'!$D$24*'0. Parametri'!$D$30+'0. Parametri'!$D$25*'0. Parametri'!$D$31+'0. Parametri'!$D$26*'0. Parametri'!$D$32+'0. Parametri'!$D$27*'0. Parametri'!$D$33+'0. Parametri'!$D$28*'0. Parametri'!$D$34)*'0. Parametri'!$D$60*('0. Parametri'!$D$62/12+'0. Parametri'!$D$61/12*'0. Parametri'!$D$64))+(('0. Parametri'!$D$19*'0. Parametri'!$D$35+'0. Parametri'!$D$20*'0. Parametri'!$D$31+'0. Parametri'!$D$21*'0. Parametri'!$D$33+'0. Parametri'!$D$22*'0. Parametri'!$D$34)*('0. Parametri'!$D$62/12)))*(1+('0. Parametri'!$D$70+'0. Parametri'!$D$71+'0. Parametri'!$D$72*1.5)))/('0. Parametri'!$D$7+'0. Parametri'!$D$8*(1-0.05)+(('0. Parametri'!$D$19*'0. Parametri'!$D$14+'0. Parametri'!$D$20*'0. Parametri'!$D$15+'0. Parametri'!$D$21*'0. Parametri'!$D$16+'0. Parametri'!$D$22*'0. Parametri'!$D$17)*('0. Parametri'!$D$62/12))*(1-0.0)+'0. Parametri'!$D$12)</f>
        <v/>
      </c>
      <c r="C15" s="102">
        <f>(('0. Parametri'!$D$7+'0. Parametri'!$D$8*(1-0.05)+(('0. Parametri'!$D$19*'0. Parametri'!$D$14+'0. Parametri'!$D$20*'0. Parametri'!$D$15+'0. Parametri'!$D$21*'0. Parametri'!$D$16+'0. Parametri'!$D$22*'0. Parametri'!$D$17)*('0. Parametri'!$D$62/12))*(1-0.05)+'0. Parametri'!$D$12)-((('0. Parametri'!$D$24*'0. Parametri'!$D$30+'0. Parametri'!$D$25*'0. Parametri'!$D$31+'0. Parametri'!$D$26*'0. Parametri'!$D$32+'0. Parametri'!$D$27*'0. Parametri'!$D$33+'0. Parametri'!$D$28*'0. Parametri'!$D$34)*'0. Parametri'!$D$60*('0. Parametri'!$D$62/12+'0. Parametri'!$D$61/12*'0. Parametri'!$D$64))+(('0. Parametri'!$D$19*'0. Parametri'!$D$35+'0. Parametri'!$D$20*'0. Parametri'!$D$31+'0. Parametri'!$D$21*'0. Parametri'!$D$33+'0. Parametri'!$D$22*'0. Parametri'!$D$34)*('0. Parametri'!$D$62/12)))*(1+('0. Parametri'!$D$70+'0. Parametri'!$D$71+'0. Parametri'!$D$72*1.5)))/('0. Parametri'!$D$7+'0. Parametri'!$D$8*(1-0.05)+(('0. Parametri'!$D$19*'0. Parametri'!$D$14+'0. Parametri'!$D$20*'0. Parametri'!$D$15+'0. Parametri'!$D$21*'0. Parametri'!$D$16+'0. Parametri'!$D$22*'0. Parametri'!$D$17)*('0. Parametri'!$D$62/12))*(1-0.05)+'0. Parametri'!$D$12)</f>
        <v/>
      </c>
      <c r="D15" s="102">
        <f>(('0. Parametri'!$D$7+'0. Parametri'!$D$8*(1-0.05)+(('0. Parametri'!$D$19*'0. Parametri'!$D$14+'0. Parametri'!$D$20*'0. Parametri'!$D$15+'0. Parametri'!$D$21*'0. Parametri'!$D$16+'0. Parametri'!$D$22*'0. Parametri'!$D$17)*('0. Parametri'!$D$62/12))*(1-0.08)+'0. Parametri'!$D$12)-((('0. Parametri'!$D$24*'0. Parametri'!$D$30+'0. Parametri'!$D$25*'0. Parametri'!$D$31+'0. Parametri'!$D$26*'0. Parametri'!$D$32+'0. Parametri'!$D$27*'0. Parametri'!$D$33+'0. Parametri'!$D$28*'0. Parametri'!$D$34)*'0. Parametri'!$D$60*('0. Parametri'!$D$62/12+'0. Parametri'!$D$61/12*'0. Parametri'!$D$64))+(('0. Parametri'!$D$19*'0. Parametri'!$D$35+'0. Parametri'!$D$20*'0. Parametri'!$D$31+'0. Parametri'!$D$21*'0. Parametri'!$D$33+'0. Parametri'!$D$22*'0. Parametri'!$D$34)*('0. Parametri'!$D$62/12)))*(1+('0. Parametri'!$D$70+'0. Parametri'!$D$71+'0. Parametri'!$D$72*1.5)))/('0. Parametri'!$D$7+'0. Parametri'!$D$8*(1-0.05)+(('0. Parametri'!$D$19*'0. Parametri'!$D$14+'0. Parametri'!$D$20*'0. Parametri'!$D$15+'0. Parametri'!$D$21*'0. Parametri'!$D$16+'0. Parametri'!$D$22*'0. Parametri'!$D$17)*('0. Parametri'!$D$62/12))*(1-0.08)+'0. Parametri'!$D$12)</f>
        <v/>
      </c>
      <c r="E15" s="102">
        <f>(('0. Parametri'!$D$7+'0. Parametri'!$D$8*(1-0.05)+(('0. Parametri'!$D$19*'0. Parametri'!$D$14+'0. Parametri'!$D$20*'0. Parametri'!$D$15+'0. Parametri'!$D$21*'0. Parametri'!$D$16+'0. Parametri'!$D$22*'0. Parametri'!$D$17)*('0. Parametri'!$D$62/12))*(1-0.1)+'0. Parametri'!$D$12)-((('0. Parametri'!$D$24*'0. Parametri'!$D$30+'0. Parametri'!$D$25*'0. Parametri'!$D$31+'0. Parametri'!$D$26*'0. Parametri'!$D$32+'0. Parametri'!$D$27*'0. Parametri'!$D$33+'0. Parametri'!$D$28*'0. Parametri'!$D$34)*'0. Parametri'!$D$60*('0. Parametri'!$D$62/12+'0. Parametri'!$D$61/12*'0. Parametri'!$D$64))+(('0. Parametri'!$D$19*'0. Parametri'!$D$35+'0. Parametri'!$D$20*'0. Parametri'!$D$31+'0. Parametri'!$D$21*'0. Parametri'!$D$33+'0. Parametri'!$D$22*'0. Parametri'!$D$34)*('0. Parametri'!$D$62/12)))*(1+('0. Parametri'!$D$70+'0. Parametri'!$D$71+'0. Parametri'!$D$72*1.5)))/('0. Parametri'!$D$7+'0. Parametri'!$D$8*(1-0.05)+(('0. Parametri'!$D$19*'0. Parametri'!$D$14+'0. Parametri'!$D$20*'0. Parametri'!$D$15+'0. Parametri'!$D$21*'0. Parametri'!$D$16+'0. Parametri'!$D$22*'0. Parametri'!$D$17)*('0. Parametri'!$D$62/12))*(1-0.1)+'0. Parametri'!$D$12)</f>
        <v/>
      </c>
      <c r="F15" s="102">
        <f>(('0. Parametri'!$D$7+'0. Parametri'!$D$8*(1-0.05)+(('0. Parametri'!$D$19*'0. Parametri'!$D$14+'0. Parametri'!$D$20*'0. Parametri'!$D$15+'0. Parametri'!$D$21*'0. Parametri'!$D$16+'0. Parametri'!$D$22*'0. Parametri'!$D$17)*('0. Parametri'!$D$62/12))*(1-0.15)+'0. Parametri'!$D$12)-((('0. Parametri'!$D$24*'0. Parametri'!$D$30+'0. Parametri'!$D$25*'0. Parametri'!$D$31+'0. Parametri'!$D$26*'0. Parametri'!$D$32+'0. Parametri'!$D$27*'0. Parametri'!$D$33+'0. Parametri'!$D$28*'0. Parametri'!$D$34)*'0. Parametri'!$D$60*('0. Parametri'!$D$62/12+'0. Parametri'!$D$61/12*'0. Parametri'!$D$64))+(('0. Parametri'!$D$19*'0. Parametri'!$D$35+'0. Parametri'!$D$20*'0. Parametri'!$D$31+'0. Parametri'!$D$21*'0. Parametri'!$D$33+'0. Parametri'!$D$22*'0. Parametri'!$D$34)*('0. Parametri'!$D$62/12)))*(1+('0. Parametri'!$D$70+'0. Parametri'!$D$71+'0. Parametri'!$D$72*1.5)))/('0. Parametri'!$D$7+'0. Parametri'!$D$8*(1-0.05)+(('0. Parametri'!$D$19*'0. Parametri'!$D$14+'0. Parametri'!$D$20*'0. Parametri'!$D$15+'0. Parametri'!$D$21*'0. Parametri'!$D$16+'0. Parametri'!$D$22*'0. Parametri'!$D$17)*('0. Parametri'!$D$62/12))*(1-0.15)+'0. Parametri'!$D$12)</f>
        <v/>
      </c>
    </row>
    <row r="16" ht="22" customHeight="1">
      <c r="A16" s="101" t="n">
        <v>0.1</v>
      </c>
      <c r="B16" s="102">
        <f>(('0. Parametri'!$D$7+'0. Parametri'!$D$8*(1-0.1)+(('0. Parametri'!$D$19*'0. Parametri'!$D$14+'0. Parametri'!$D$20*'0. Parametri'!$D$15+'0. Parametri'!$D$21*'0. Parametri'!$D$16+'0. Parametri'!$D$22*'0. Parametri'!$D$17)*('0. Parametri'!$D$62/12))*(1-0.0)+'0. Parametri'!$D$12)-((('0. Parametri'!$D$24*'0. Parametri'!$D$30+'0. Parametri'!$D$25*'0. Parametri'!$D$31+'0. Parametri'!$D$26*'0. Parametri'!$D$32+'0. Parametri'!$D$27*'0. Parametri'!$D$33+'0. Parametri'!$D$28*'0. Parametri'!$D$34)*'0. Parametri'!$D$60*('0. Parametri'!$D$62/12+'0. Parametri'!$D$61/12*'0. Parametri'!$D$64))+(('0. Parametri'!$D$19*'0. Parametri'!$D$35+'0. Parametri'!$D$20*'0. Parametri'!$D$31+'0. Parametri'!$D$21*'0. Parametri'!$D$33+'0. Parametri'!$D$22*'0. Parametri'!$D$34)*('0. Parametri'!$D$62/12)))*(1+('0. Parametri'!$D$70+'0. Parametri'!$D$71+'0. Parametri'!$D$72*1.5)))/('0. Parametri'!$D$7+'0. Parametri'!$D$8*(1-0.1)+(('0. Parametri'!$D$19*'0. Parametri'!$D$14+'0. Parametri'!$D$20*'0. Parametri'!$D$15+'0. Parametri'!$D$21*'0. Parametri'!$D$16+'0. Parametri'!$D$22*'0. Parametri'!$D$17)*('0. Parametri'!$D$62/12))*(1-0.0)+'0. Parametri'!$D$12)</f>
        <v/>
      </c>
      <c r="C16" s="102">
        <f>(('0. Parametri'!$D$7+'0. Parametri'!$D$8*(1-0.1)+(('0. Parametri'!$D$19*'0. Parametri'!$D$14+'0. Parametri'!$D$20*'0. Parametri'!$D$15+'0. Parametri'!$D$21*'0. Parametri'!$D$16+'0. Parametri'!$D$22*'0. Parametri'!$D$17)*('0. Parametri'!$D$62/12))*(1-0.05)+'0. Parametri'!$D$12)-((('0. Parametri'!$D$24*'0. Parametri'!$D$30+'0. Parametri'!$D$25*'0. Parametri'!$D$31+'0. Parametri'!$D$26*'0. Parametri'!$D$32+'0. Parametri'!$D$27*'0. Parametri'!$D$33+'0. Parametri'!$D$28*'0. Parametri'!$D$34)*'0. Parametri'!$D$60*('0. Parametri'!$D$62/12+'0. Parametri'!$D$61/12*'0. Parametri'!$D$64))+(('0. Parametri'!$D$19*'0. Parametri'!$D$35+'0. Parametri'!$D$20*'0. Parametri'!$D$31+'0. Parametri'!$D$21*'0. Parametri'!$D$33+'0. Parametri'!$D$22*'0. Parametri'!$D$34)*('0. Parametri'!$D$62/12)))*(1+('0. Parametri'!$D$70+'0. Parametri'!$D$71+'0. Parametri'!$D$72*1.5)))/('0. Parametri'!$D$7+'0. Parametri'!$D$8*(1-0.1)+(('0. Parametri'!$D$19*'0. Parametri'!$D$14+'0. Parametri'!$D$20*'0. Parametri'!$D$15+'0. Parametri'!$D$21*'0. Parametri'!$D$16+'0. Parametri'!$D$22*'0. Parametri'!$D$17)*('0. Parametri'!$D$62/12))*(1-0.05)+'0. Parametri'!$D$12)</f>
        <v/>
      </c>
      <c r="D16" s="102">
        <f>(('0. Parametri'!$D$7+'0. Parametri'!$D$8*(1-0.1)+(('0. Parametri'!$D$19*'0. Parametri'!$D$14+'0. Parametri'!$D$20*'0. Parametri'!$D$15+'0. Parametri'!$D$21*'0. Parametri'!$D$16+'0. Parametri'!$D$22*'0. Parametri'!$D$17)*('0. Parametri'!$D$62/12))*(1-0.08)+'0. Parametri'!$D$12)-((('0. Parametri'!$D$24*'0. Parametri'!$D$30+'0. Parametri'!$D$25*'0. Parametri'!$D$31+'0. Parametri'!$D$26*'0. Parametri'!$D$32+'0. Parametri'!$D$27*'0. Parametri'!$D$33+'0. Parametri'!$D$28*'0. Parametri'!$D$34)*'0. Parametri'!$D$60*('0. Parametri'!$D$62/12+'0. Parametri'!$D$61/12*'0. Parametri'!$D$64))+(('0. Parametri'!$D$19*'0. Parametri'!$D$35+'0. Parametri'!$D$20*'0. Parametri'!$D$31+'0. Parametri'!$D$21*'0. Parametri'!$D$33+'0. Parametri'!$D$22*'0. Parametri'!$D$34)*('0. Parametri'!$D$62/12)))*(1+('0. Parametri'!$D$70+'0. Parametri'!$D$71+'0. Parametri'!$D$72*1.5)))/('0. Parametri'!$D$7+'0. Parametri'!$D$8*(1-0.1)+(('0. Parametri'!$D$19*'0. Parametri'!$D$14+'0. Parametri'!$D$20*'0. Parametri'!$D$15+'0. Parametri'!$D$21*'0. Parametri'!$D$16+'0. Parametri'!$D$22*'0. Parametri'!$D$17)*('0. Parametri'!$D$62/12))*(1-0.08)+'0. Parametri'!$D$12)</f>
        <v/>
      </c>
      <c r="E16" s="102">
        <f>(('0. Parametri'!$D$7+'0. Parametri'!$D$8*(1-0.1)+(('0. Parametri'!$D$19*'0. Parametri'!$D$14+'0. Parametri'!$D$20*'0. Parametri'!$D$15+'0. Parametri'!$D$21*'0. Parametri'!$D$16+'0. Parametri'!$D$22*'0. Parametri'!$D$17)*('0. Parametri'!$D$62/12))*(1-0.1)+'0. Parametri'!$D$12)-((('0. Parametri'!$D$24*'0. Parametri'!$D$30+'0. Parametri'!$D$25*'0. Parametri'!$D$31+'0. Parametri'!$D$26*'0. Parametri'!$D$32+'0. Parametri'!$D$27*'0. Parametri'!$D$33+'0. Parametri'!$D$28*'0. Parametri'!$D$34)*'0. Parametri'!$D$60*('0. Parametri'!$D$62/12+'0. Parametri'!$D$61/12*'0. Parametri'!$D$64))+(('0. Parametri'!$D$19*'0. Parametri'!$D$35+'0. Parametri'!$D$20*'0. Parametri'!$D$31+'0. Parametri'!$D$21*'0. Parametri'!$D$33+'0. Parametri'!$D$22*'0. Parametri'!$D$34)*('0. Parametri'!$D$62/12)))*(1+('0. Parametri'!$D$70+'0. Parametri'!$D$71+'0. Parametri'!$D$72*1.5)))/('0. Parametri'!$D$7+'0. Parametri'!$D$8*(1-0.1)+(('0. Parametri'!$D$19*'0. Parametri'!$D$14+'0. Parametri'!$D$20*'0. Parametri'!$D$15+'0. Parametri'!$D$21*'0. Parametri'!$D$16+'0. Parametri'!$D$22*'0. Parametri'!$D$17)*('0. Parametri'!$D$62/12))*(1-0.1)+'0. Parametri'!$D$12)</f>
        <v/>
      </c>
      <c r="F16" s="102">
        <f>(('0. Parametri'!$D$7+'0. Parametri'!$D$8*(1-0.1)+(('0. Parametri'!$D$19*'0. Parametri'!$D$14+'0. Parametri'!$D$20*'0. Parametri'!$D$15+'0. Parametri'!$D$21*'0. Parametri'!$D$16+'0. Parametri'!$D$22*'0. Parametri'!$D$17)*('0. Parametri'!$D$62/12))*(1-0.15)+'0. Parametri'!$D$12)-((('0. Parametri'!$D$24*'0. Parametri'!$D$30+'0. Parametri'!$D$25*'0. Parametri'!$D$31+'0. Parametri'!$D$26*'0. Parametri'!$D$32+'0. Parametri'!$D$27*'0. Parametri'!$D$33+'0. Parametri'!$D$28*'0. Parametri'!$D$34)*'0. Parametri'!$D$60*('0. Parametri'!$D$62/12+'0. Parametri'!$D$61/12*'0. Parametri'!$D$64))+(('0. Parametri'!$D$19*'0. Parametri'!$D$35+'0. Parametri'!$D$20*'0. Parametri'!$D$31+'0. Parametri'!$D$21*'0. Parametri'!$D$33+'0. Parametri'!$D$22*'0. Parametri'!$D$34)*('0. Parametri'!$D$62/12)))*(1+('0. Parametri'!$D$70+'0. Parametri'!$D$71+'0. Parametri'!$D$72*1.5)))/('0. Parametri'!$D$7+'0. Parametri'!$D$8*(1-0.1)+(('0. Parametri'!$D$19*'0. Parametri'!$D$14+'0. Parametri'!$D$20*'0. Parametri'!$D$15+'0. Parametri'!$D$21*'0. Parametri'!$D$16+'0. Parametri'!$D$22*'0. Parametri'!$D$17)*('0. Parametri'!$D$62/12))*(1-0.15)+'0. Parametri'!$D$12)</f>
        <v/>
      </c>
    </row>
    <row r="17" ht="22" customHeight="1">
      <c r="A17" s="101" t="n">
        <v>0.15</v>
      </c>
      <c r="B17" s="102">
        <f>(('0. Parametri'!$D$7+'0. Parametri'!$D$8*(1-0.15)+(('0. Parametri'!$D$19*'0. Parametri'!$D$14+'0. Parametri'!$D$20*'0. Parametri'!$D$15+'0. Parametri'!$D$21*'0. Parametri'!$D$16+'0. Parametri'!$D$22*'0. Parametri'!$D$17)*('0. Parametri'!$D$62/12))*(1-0.0)+'0. Parametri'!$D$12)-((('0. Parametri'!$D$24*'0. Parametri'!$D$30+'0. Parametri'!$D$25*'0. Parametri'!$D$31+'0. Parametri'!$D$26*'0. Parametri'!$D$32+'0. Parametri'!$D$27*'0. Parametri'!$D$33+'0. Parametri'!$D$28*'0. Parametri'!$D$34)*'0. Parametri'!$D$60*('0. Parametri'!$D$62/12+'0. Parametri'!$D$61/12*'0. Parametri'!$D$64))+(('0. Parametri'!$D$19*'0. Parametri'!$D$35+'0. Parametri'!$D$20*'0. Parametri'!$D$31+'0. Parametri'!$D$21*'0. Parametri'!$D$33+'0. Parametri'!$D$22*'0. Parametri'!$D$34)*('0. Parametri'!$D$62/12)))*(1+('0. Parametri'!$D$70+'0. Parametri'!$D$71+'0. Parametri'!$D$72*1.5)))/('0. Parametri'!$D$7+'0. Parametri'!$D$8*(1-0.15)+(('0. Parametri'!$D$19*'0. Parametri'!$D$14+'0. Parametri'!$D$20*'0. Parametri'!$D$15+'0. Parametri'!$D$21*'0. Parametri'!$D$16+'0. Parametri'!$D$22*'0. Parametri'!$D$17)*('0. Parametri'!$D$62/12))*(1-0.0)+'0. Parametri'!$D$12)</f>
        <v/>
      </c>
      <c r="C17" s="102">
        <f>(('0. Parametri'!$D$7+'0. Parametri'!$D$8*(1-0.15)+(('0. Parametri'!$D$19*'0. Parametri'!$D$14+'0. Parametri'!$D$20*'0. Parametri'!$D$15+'0. Parametri'!$D$21*'0. Parametri'!$D$16+'0. Parametri'!$D$22*'0. Parametri'!$D$17)*('0. Parametri'!$D$62/12))*(1-0.05)+'0. Parametri'!$D$12)-((('0. Parametri'!$D$24*'0. Parametri'!$D$30+'0. Parametri'!$D$25*'0. Parametri'!$D$31+'0. Parametri'!$D$26*'0. Parametri'!$D$32+'0. Parametri'!$D$27*'0. Parametri'!$D$33+'0. Parametri'!$D$28*'0. Parametri'!$D$34)*'0. Parametri'!$D$60*('0. Parametri'!$D$62/12+'0. Parametri'!$D$61/12*'0. Parametri'!$D$64))+(('0. Parametri'!$D$19*'0. Parametri'!$D$35+'0. Parametri'!$D$20*'0. Parametri'!$D$31+'0. Parametri'!$D$21*'0. Parametri'!$D$33+'0. Parametri'!$D$22*'0. Parametri'!$D$34)*('0. Parametri'!$D$62/12)))*(1+('0. Parametri'!$D$70+'0. Parametri'!$D$71+'0. Parametri'!$D$72*1.5)))/('0. Parametri'!$D$7+'0. Parametri'!$D$8*(1-0.15)+(('0. Parametri'!$D$19*'0. Parametri'!$D$14+'0. Parametri'!$D$20*'0. Parametri'!$D$15+'0. Parametri'!$D$21*'0. Parametri'!$D$16+'0. Parametri'!$D$22*'0. Parametri'!$D$17)*('0. Parametri'!$D$62/12))*(1-0.05)+'0. Parametri'!$D$12)</f>
        <v/>
      </c>
      <c r="D17" s="102">
        <f>(('0. Parametri'!$D$7+'0. Parametri'!$D$8*(1-0.15)+(('0. Parametri'!$D$19*'0. Parametri'!$D$14+'0. Parametri'!$D$20*'0. Parametri'!$D$15+'0. Parametri'!$D$21*'0. Parametri'!$D$16+'0. Parametri'!$D$22*'0. Parametri'!$D$17)*('0. Parametri'!$D$62/12))*(1-0.08)+'0. Parametri'!$D$12)-((('0. Parametri'!$D$24*'0. Parametri'!$D$30+'0. Parametri'!$D$25*'0. Parametri'!$D$31+'0. Parametri'!$D$26*'0. Parametri'!$D$32+'0. Parametri'!$D$27*'0. Parametri'!$D$33+'0. Parametri'!$D$28*'0. Parametri'!$D$34)*'0. Parametri'!$D$60*('0. Parametri'!$D$62/12+'0. Parametri'!$D$61/12*'0. Parametri'!$D$64))+(('0. Parametri'!$D$19*'0. Parametri'!$D$35+'0. Parametri'!$D$20*'0. Parametri'!$D$31+'0. Parametri'!$D$21*'0. Parametri'!$D$33+'0. Parametri'!$D$22*'0. Parametri'!$D$34)*('0. Parametri'!$D$62/12)))*(1+('0. Parametri'!$D$70+'0. Parametri'!$D$71+'0. Parametri'!$D$72*1.5)))/('0. Parametri'!$D$7+'0. Parametri'!$D$8*(1-0.15)+(('0. Parametri'!$D$19*'0. Parametri'!$D$14+'0. Parametri'!$D$20*'0. Parametri'!$D$15+'0. Parametri'!$D$21*'0. Parametri'!$D$16+'0. Parametri'!$D$22*'0. Parametri'!$D$17)*('0. Parametri'!$D$62/12))*(1-0.08)+'0. Parametri'!$D$12)</f>
        <v/>
      </c>
      <c r="E17" s="102">
        <f>(('0. Parametri'!$D$7+'0. Parametri'!$D$8*(1-0.15)+(('0. Parametri'!$D$19*'0. Parametri'!$D$14+'0. Parametri'!$D$20*'0. Parametri'!$D$15+'0. Parametri'!$D$21*'0. Parametri'!$D$16+'0. Parametri'!$D$22*'0. Parametri'!$D$17)*('0. Parametri'!$D$62/12))*(1-0.1)+'0. Parametri'!$D$12)-((('0. Parametri'!$D$24*'0. Parametri'!$D$30+'0. Parametri'!$D$25*'0. Parametri'!$D$31+'0. Parametri'!$D$26*'0. Parametri'!$D$32+'0. Parametri'!$D$27*'0. Parametri'!$D$33+'0. Parametri'!$D$28*'0. Parametri'!$D$34)*'0. Parametri'!$D$60*('0. Parametri'!$D$62/12+'0. Parametri'!$D$61/12*'0. Parametri'!$D$64))+(('0. Parametri'!$D$19*'0. Parametri'!$D$35+'0. Parametri'!$D$20*'0. Parametri'!$D$31+'0. Parametri'!$D$21*'0. Parametri'!$D$33+'0. Parametri'!$D$22*'0. Parametri'!$D$34)*('0. Parametri'!$D$62/12)))*(1+('0. Parametri'!$D$70+'0. Parametri'!$D$71+'0. Parametri'!$D$72*1.5)))/('0. Parametri'!$D$7+'0. Parametri'!$D$8*(1-0.15)+(('0. Parametri'!$D$19*'0. Parametri'!$D$14+'0. Parametri'!$D$20*'0. Parametri'!$D$15+'0. Parametri'!$D$21*'0. Parametri'!$D$16+'0. Parametri'!$D$22*'0. Parametri'!$D$17)*('0. Parametri'!$D$62/12))*(1-0.1)+'0. Parametri'!$D$12)</f>
        <v/>
      </c>
      <c r="F17" s="102">
        <f>(('0. Parametri'!$D$7+'0. Parametri'!$D$8*(1-0.15)+(('0. Parametri'!$D$19*'0. Parametri'!$D$14+'0. Parametri'!$D$20*'0. Parametri'!$D$15+'0. Parametri'!$D$21*'0. Parametri'!$D$16+'0. Parametri'!$D$22*'0. Parametri'!$D$17)*('0. Parametri'!$D$62/12))*(1-0.15)+'0. Parametri'!$D$12)-((('0. Parametri'!$D$24*'0. Parametri'!$D$30+'0. Parametri'!$D$25*'0. Parametri'!$D$31+'0. Parametri'!$D$26*'0. Parametri'!$D$32+'0. Parametri'!$D$27*'0. Parametri'!$D$33+'0. Parametri'!$D$28*'0. Parametri'!$D$34)*'0. Parametri'!$D$60*('0. Parametri'!$D$62/12+'0. Parametri'!$D$61/12*'0. Parametri'!$D$64))+(('0. Parametri'!$D$19*'0. Parametri'!$D$35+'0. Parametri'!$D$20*'0. Parametri'!$D$31+'0. Parametri'!$D$21*'0. Parametri'!$D$33+'0. Parametri'!$D$22*'0. Parametri'!$D$34)*('0. Parametri'!$D$62/12)))*(1+('0. Parametri'!$D$70+'0. Parametri'!$D$71+'0. Parametri'!$D$72*1.5)))/('0. Parametri'!$D$7+'0. Parametri'!$D$8*(1-0.15)+(('0. Parametri'!$D$19*'0. Parametri'!$D$14+'0. Parametri'!$D$20*'0. Parametri'!$D$15+'0. Parametri'!$D$21*'0. Parametri'!$D$16+'0. Parametri'!$D$22*'0. Parametri'!$D$17)*('0. Parametri'!$D$62/12))*(1-0.15)+'0. Parametri'!$D$12)</f>
        <v/>
      </c>
    </row>
    <row r="18" ht="22" customHeight="1">
      <c r="A18" s="101" t="n">
        <v>0.2</v>
      </c>
      <c r="B18" s="102">
        <f>(('0. Parametri'!$D$7+'0. Parametri'!$D$8*(1-0.2)+(('0. Parametri'!$D$19*'0. Parametri'!$D$14+'0. Parametri'!$D$20*'0. Parametri'!$D$15+'0. Parametri'!$D$21*'0. Parametri'!$D$16+'0. Parametri'!$D$22*'0. Parametri'!$D$17)*('0. Parametri'!$D$62/12))*(1-0.0)+'0. Parametri'!$D$12)-((('0. Parametri'!$D$24*'0. Parametri'!$D$30+'0. Parametri'!$D$25*'0. Parametri'!$D$31+'0. Parametri'!$D$26*'0. Parametri'!$D$32+'0. Parametri'!$D$27*'0. Parametri'!$D$33+'0. Parametri'!$D$28*'0. Parametri'!$D$34)*'0. Parametri'!$D$60*('0. Parametri'!$D$62/12+'0. Parametri'!$D$61/12*'0. Parametri'!$D$64))+(('0. Parametri'!$D$19*'0. Parametri'!$D$35+'0. Parametri'!$D$20*'0. Parametri'!$D$31+'0. Parametri'!$D$21*'0. Parametri'!$D$33+'0. Parametri'!$D$22*'0. Parametri'!$D$34)*('0. Parametri'!$D$62/12)))*(1+('0. Parametri'!$D$70+'0. Parametri'!$D$71+'0. Parametri'!$D$72*1.5)))/('0. Parametri'!$D$7+'0. Parametri'!$D$8*(1-0.2)+(('0. Parametri'!$D$19*'0. Parametri'!$D$14+'0. Parametri'!$D$20*'0. Parametri'!$D$15+'0. Parametri'!$D$21*'0. Parametri'!$D$16+'0. Parametri'!$D$22*'0. Parametri'!$D$17)*('0. Parametri'!$D$62/12))*(1-0.0)+'0. Parametri'!$D$12)</f>
        <v/>
      </c>
      <c r="C18" s="102">
        <f>(('0. Parametri'!$D$7+'0. Parametri'!$D$8*(1-0.2)+(('0. Parametri'!$D$19*'0. Parametri'!$D$14+'0. Parametri'!$D$20*'0. Parametri'!$D$15+'0. Parametri'!$D$21*'0. Parametri'!$D$16+'0. Parametri'!$D$22*'0. Parametri'!$D$17)*('0. Parametri'!$D$62/12))*(1-0.05)+'0. Parametri'!$D$12)-((('0. Parametri'!$D$24*'0. Parametri'!$D$30+'0. Parametri'!$D$25*'0. Parametri'!$D$31+'0. Parametri'!$D$26*'0. Parametri'!$D$32+'0. Parametri'!$D$27*'0. Parametri'!$D$33+'0. Parametri'!$D$28*'0. Parametri'!$D$34)*'0. Parametri'!$D$60*('0. Parametri'!$D$62/12+'0. Parametri'!$D$61/12*'0. Parametri'!$D$64))+(('0. Parametri'!$D$19*'0. Parametri'!$D$35+'0. Parametri'!$D$20*'0. Parametri'!$D$31+'0. Parametri'!$D$21*'0. Parametri'!$D$33+'0. Parametri'!$D$22*'0. Parametri'!$D$34)*('0. Parametri'!$D$62/12)))*(1+('0. Parametri'!$D$70+'0. Parametri'!$D$71+'0. Parametri'!$D$72*1.5)))/('0. Parametri'!$D$7+'0. Parametri'!$D$8*(1-0.2)+(('0. Parametri'!$D$19*'0. Parametri'!$D$14+'0. Parametri'!$D$20*'0. Parametri'!$D$15+'0. Parametri'!$D$21*'0. Parametri'!$D$16+'0. Parametri'!$D$22*'0. Parametri'!$D$17)*('0. Parametri'!$D$62/12))*(1-0.05)+'0. Parametri'!$D$12)</f>
        <v/>
      </c>
      <c r="D18" s="102">
        <f>(('0. Parametri'!$D$7+'0. Parametri'!$D$8*(1-0.2)+(('0. Parametri'!$D$19*'0. Parametri'!$D$14+'0. Parametri'!$D$20*'0. Parametri'!$D$15+'0. Parametri'!$D$21*'0. Parametri'!$D$16+'0. Parametri'!$D$22*'0. Parametri'!$D$17)*('0. Parametri'!$D$62/12))*(1-0.08)+'0. Parametri'!$D$12)-((('0. Parametri'!$D$24*'0. Parametri'!$D$30+'0. Parametri'!$D$25*'0. Parametri'!$D$31+'0. Parametri'!$D$26*'0. Parametri'!$D$32+'0. Parametri'!$D$27*'0. Parametri'!$D$33+'0. Parametri'!$D$28*'0. Parametri'!$D$34)*'0. Parametri'!$D$60*('0. Parametri'!$D$62/12+'0. Parametri'!$D$61/12*'0. Parametri'!$D$64))+(('0. Parametri'!$D$19*'0. Parametri'!$D$35+'0. Parametri'!$D$20*'0. Parametri'!$D$31+'0. Parametri'!$D$21*'0. Parametri'!$D$33+'0. Parametri'!$D$22*'0. Parametri'!$D$34)*('0. Parametri'!$D$62/12)))*(1+('0. Parametri'!$D$70+'0. Parametri'!$D$71+'0. Parametri'!$D$72*1.5)))/('0. Parametri'!$D$7+'0. Parametri'!$D$8*(1-0.2)+(('0. Parametri'!$D$19*'0. Parametri'!$D$14+'0. Parametri'!$D$20*'0. Parametri'!$D$15+'0. Parametri'!$D$21*'0. Parametri'!$D$16+'0. Parametri'!$D$22*'0. Parametri'!$D$17)*('0. Parametri'!$D$62/12))*(1-0.08)+'0. Parametri'!$D$12)</f>
        <v/>
      </c>
      <c r="E18" s="102">
        <f>(('0. Parametri'!$D$7+'0. Parametri'!$D$8*(1-0.2)+(('0. Parametri'!$D$19*'0. Parametri'!$D$14+'0. Parametri'!$D$20*'0. Parametri'!$D$15+'0. Parametri'!$D$21*'0. Parametri'!$D$16+'0. Parametri'!$D$22*'0. Parametri'!$D$17)*('0. Parametri'!$D$62/12))*(1-0.1)+'0. Parametri'!$D$12)-((('0. Parametri'!$D$24*'0. Parametri'!$D$30+'0. Parametri'!$D$25*'0. Parametri'!$D$31+'0. Parametri'!$D$26*'0. Parametri'!$D$32+'0. Parametri'!$D$27*'0. Parametri'!$D$33+'0. Parametri'!$D$28*'0. Parametri'!$D$34)*'0. Parametri'!$D$60*('0. Parametri'!$D$62/12+'0. Parametri'!$D$61/12*'0. Parametri'!$D$64))+(('0. Parametri'!$D$19*'0. Parametri'!$D$35+'0. Parametri'!$D$20*'0. Parametri'!$D$31+'0. Parametri'!$D$21*'0. Parametri'!$D$33+'0. Parametri'!$D$22*'0. Parametri'!$D$34)*('0. Parametri'!$D$62/12)))*(1+('0. Parametri'!$D$70+'0. Parametri'!$D$71+'0. Parametri'!$D$72*1.5)))/('0. Parametri'!$D$7+'0. Parametri'!$D$8*(1-0.2)+(('0. Parametri'!$D$19*'0. Parametri'!$D$14+'0. Parametri'!$D$20*'0. Parametri'!$D$15+'0. Parametri'!$D$21*'0. Parametri'!$D$16+'0. Parametri'!$D$22*'0. Parametri'!$D$17)*('0. Parametri'!$D$62/12))*(1-0.1)+'0. Parametri'!$D$12)</f>
        <v/>
      </c>
      <c r="F18" s="102">
        <f>(('0. Parametri'!$D$7+'0. Parametri'!$D$8*(1-0.2)+(('0. Parametri'!$D$19*'0. Parametri'!$D$14+'0. Parametri'!$D$20*'0. Parametri'!$D$15+'0. Parametri'!$D$21*'0. Parametri'!$D$16+'0. Parametri'!$D$22*'0. Parametri'!$D$17)*('0. Parametri'!$D$62/12))*(1-0.15)+'0. Parametri'!$D$12)-((('0. Parametri'!$D$24*'0. Parametri'!$D$30+'0. Parametri'!$D$25*'0. Parametri'!$D$31+'0. Parametri'!$D$26*'0. Parametri'!$D$32+'0. Parametri'!$D$27*'0. Parametri'!$D$33+'0. Parametri'!$D$28*'0. Parametri'!$D$34)*'0. Parametri'!$D$60*('0. Parametri'!$D$62/12+'0. Parametri'!$D$61/12*'0. Parametri'!$D$64))+(('0. Parametri'!$D$19*'0. Parametri'!$D$35+'0. Parametri'!$D$20*'0. Parametri'!$D$31+'0. Parametri'!$D$21*'0. Parametri'!$D$33+'0. Parametri'!$D$22*'0. Parametri'!$D$34)*('0. Parametri'!$D$62/12)))*(1+('0. Parametri'!$D$70+'0. Parametri'!$D$71+'0. Parametri'!$D$72*1.5)))/('0. Parametri'!$D$7+'0. Parametri'!$D$8*(1-0.2)+(('0. Parametri'!$D$19*'0. Parametri'!$D$14+'0. Parametri'!$D$20*'0. Parametri'!$D$15+'0. Parametri'!$D$21*'0. Parametri'!$D$16+'0. Parametri'!$D$22*'0. Parametri'!$D$17)*('0. Parametri'!$D$62/12))*(1-0.15)+'0. Parametri'!$D$12)</f>
        <v/>
      </c>
    </row>
    <row r="19"/>
    <row r="20" ht="32" customHeight="1">
      <c r="A20" s="103" t="inlineStr">
        <is>
          <t>Lettura matrice: ogni cella = margine % atteso 39 mesi con quella combinazione di ribasso. Verde = margine positivo; rosso = margine negativo. Identifica il 'floor' di ribasso compatibile con margine target.</t>
        </is>
      </c>
    </row>
  </sheetData>
  <mergeCells count="5">
    <mergeCell ref="A20:L20"/>
    <mergeCell ref="A2:L2"/>
    <mergeCell ref="A1:L1"/>
    <mergeCell ref="A12:L12"/>
    <mergeCell ref="A4:L4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38" customWidth="1" min="2" max="2"/>
    <col width="28" customWidth="1" min="3" max="3"/>
    <col width="16" customWidth="1" min="4" max="4"/>
    <col width="11" customWidth="1" min="5" max="5"/>
    <col width="11" customWidth="1" min="6" max="6"/>
    <col width="38" customWidth="1" min="7" max="7"/>
    <col width="14" customWidth="1" min="8" max="8"/>
  </cols>
  <sheetData>
    <row r="1" ht="26" customHeight="1">
      <c r="A1" s="1" t="inlineStr">
        <is>
          <t>Risk Register Stima — Rischi associati ad assunzioni e chiarimenti aperti</t>
        </is>
      </c>
    </row>
    <row r="2" ht="16" customHeight="1">
      <c r="A2" s="2" t="inlineStr">
        <is>
          <t>Probabilità: A=Alta, M=Media, B=Bassa | Impatto € = stima ordine di grandezza su margine 39 mesi</t>
        </is>
      </c>
    </row>
    <row r="3"/>
    <row r="4" ht="26" customHeight="1">
      <c r="A4" s="3" t="inlineStr">
        <is>
          <t>#</t>
        </is>
      </c>
      <c r="B4" s="3" t="inlineStr">
        <is>
          <t>Rischio</t>
        </is>
      </c>
      <c r="C4" s="3" t="inlineStr">
        <is>
          <t>Origine (Sheet 8/9)</t>
        </is>
      </c>
      <c r="D4" s="3" t="inlineStr">
        <is>
          <t>Impatto stimato €</t>
        </is>
      </c>
      <c r="E4" s="3" t="inlineStr">
        <is>
          <t>Probabilità</t>
        </is>
      </c>
      <c r="F4" s="3" t="inlineStr">
        <is>
          <t>Severity</t>
        </is>
      </c>
      <c r="G4" s="3" t="inlineStr">
        <is>
          <t>Mitigazione</t>
        </is>
      </c>
      <c r="H4" s="3" t="inlineStr">
        <is>
          <t>Owner</t>
        </is>
      </c>
    </row>
    <row r="5" ht="36" customHeight="1">
      <c r="A5" s="11" t="n"/>
      <c r="B5" s="50" t="n"/>
      <c r="C5" s="15" t="n"/>
      <c r="D5" s="12" t="n"/>
      <c r="E5" s="11" t="n"/>
      <c r="F5" s="11" t="n"/>
      <c r="G5" s="12" t="n"/>
      <c r="H5" s="15" t="n"/>
    </row>
    <row r="6" ht="36" customHeight="1">
      <c r="A6" s="11" t="n"/>
      <c r="B6" s="50" t="n"/>
      <c r="C6" s="15" t="n"/>
      <c r="D6" s="12" t="n"/>
      <c r="E6" s="11" t="n"/>
      <c r="F6" s="11" t="n"/>
      <c r="G6" s="12" t="n"/>
      <c r="H6" s="15" t="n"/>
    </row>
    <row r="7" ht="36" customHeight="1">
      <c r="A7" s="11" t="n"/>
      <c r="B7" s="50" t="n"/>
      <c r="C7" s="15" t="n"/>
      <c r="D7" s="12" t="n"/>
      <c r="E7" s="11" t="n"/>
      <c r="F7" s="11" t="n"/>
      <c r="G7" s="12" t="n"/>
      <c r="H7" s="15" t="n"/>
    </row>
    <row r="8" ht="36" customHeight="1">
      <c r="A8" s="11" t="n"/>
      <c r="B8" s="50" t="n"/>
      <c r="C8" s="15" t="n"/>
      <c r="D8" s="12" t="n"/>
      <c r="E8" s="11" t="n"/>
      <c r="F8" s="11" t="n"/>
      <c r="G8" s="12" t="n"/>
      <c r="H8" s="15" t="n"/>
    </row>
    <row r="9" ht="36" customHeight="1">
      <c r="A9" s="11" t="n"/>
      <c r="B9" s="50" t="n"/>
      <c r="C9" s="15" t="n"/>
      <c r="D9" s="12" t="n"/>
      <c r="E9" s="11" t="n"/>
      <c r="F9" s="11" t="n"/>
      <c r="G9" s="12" t="n"/>
      <c r="H9" s="15" t="n"/>
    </row>
    <row r="10" ht="36" customHeight="1">
      <c r="A10" s="11" t="n"/>
      <c r="B10" s="50" t="n"/>
      <c r="C10" s="15" t="n"/>
      <c r="D10" s="12" t="n"/>
      <c r="E10" s="11" t="n"/>
      <c r="F10" s="11" t="n"/>
      <c r="G10" s="12" t="n"/>
      <c r="H10" s="15" t="n"/>
    </row>
    <row r="11" ht="36" customHeight="1">
      <c r="A11" s="18" t="n"/>
      <c r="B11" s="46" t="n"/>
      <c r="C11" s="22" t="n"/>
      <c r="D11" s="19" t="n"/>
      <c r="E11" s="18" t="n"/>
      <c r="F11" s="18" t="n"/>
      <c r="G11" s="19" t="n"/>
      <c r="H11" s="22" t="n"/>
    </row>
    <row r="12" ht="36" customHeight="1">
      <c r="A12" s="18" t="n"/>
      <c r="B12" s="46" t="n"/>
      <c r="C12" s="22" t="n"/>
      <c r="D12" s="19" t="n"/>
      <c r="E12" s="18" t="n"/>
      <c r="F12" s="18" t="n"/>
      <c r="G12" s="19" t="n"/>
      <c r="H12" s="22" t="n"/>
    </row>
    <row r="13" ht="36" customHeight="1">
      <c r="A13" s="18" t="n"/>
      <c r="B13" s="46" t="n"/>
      <c r="C13" s="22" t="n"/>
      <c r="D13" s="19" t="n"/>
      <c r="E13" s="18" t="n"/>
      <c r="F13" s="18" t="n"/>
      <c r="G13" s="19" t="n"/>
      <c r="H13" s="22" t="n"/>
    </row>
    <row r="14" ht="36" customHeight="1">
      <c r="A14" s="18" t="n"/>
      <c r="B14" s="46" t="n"/>
      <c r="C14" s="22" t="n"/>
      <c r="D14" s="19" t="n"/>
      <c r="E14" s="18" t="n"/>
      <c r="F14" s="18" t="n"/>
      <c r="G14" s="19" t="n"/>
      <c r="H14" s="22" t="n"/>
    </row>
    <row r="15" ht="36" customHeight="1">
      <c r="A15" s="18" t="n"/>
      <c r="B15" s="46" t="n"/>
      <c r="C15" s="22" t="n"/>
      <c r="D15" s="19" t="n"/>
      <c r="E15" s="18" t="n"/>
      <c r="F15" s="18" t="n"/>
      <c r="G15" s="19" t="n"/>
      <c r="H15" s="22" t="n"/>
    </row>
    <row r="16" ht="36" customHeight="1">
      <c r="A16" s="18" t="n"/>
      <c r="B16" s="46" t="n"/>
      <c r="C16" s="22" t="n"/>
      <c r="D16" s="19" t="n"/>
      <c r="E16" s="18" t="n"/>
      <c r="F16" s="18" t="n"/>
      <c r="G16" s="19" t="n"/>
      <c r="H16" s="22" t="n"/>
    </row>
    <row r="17" ht="36" customHeight="1">
      <c r="A17" s="18" t="n"/>
      <c r="B17" s="46" t="n"/>
      <c r="C17" s="22" t="n"/>
      <c r="D17" s="19" t="n"/>
      <c r="E17" s="18" t="n"/>
      <c r="F17" s="18" t="n"/>
      <c r="G17" s="19" t="n"/>
      <c r="H17" s="22" t="n"/>
    </row>
    <row r="18" ht="36" customHeight="1">
      <c r="A18" s="5" t="n"/>
      <c r="B18" s="43" t="n"/>
      <c r="C18" s="9" t="n"/>
      <c r="D18" s="6" t="n"/>
      <c r="E18" s="5" t="n"/>
      <c r="F18" s="5" t="n"/>
      <c r="G18" s="6" t="n"/>
      <c r="H18" s="9" t="n"/>
    </row>
    <row r="19" ht="36" customHeight="1">
      <c r="A19" s="5" t="n"/>
      <c r="B19" s="43" t="n"/>
      <c r="C19" s="9" t="n"/>
      <c r="D19" s="6" t="n"/>
      <c r="E19" s="5" t="n"/>
      <c r="F19" s="5" t="n"/>
      <c r="G19" s="6" t="n"/>
      <c r="H19" s="9" t="n"/>
    </row>
    <row r="20" ht="36" customHeight="1">
      <c r="A20" s="18" t="n"/>
      <c r="B20" s="46" t="n"/>
      <c r="C20" s="22" t="n"/>
      <c r="D20" s="19" t="n"/>
      <c r="E20" s="18" t="n"/>
      <c r="F20" s="18" t="n"/>
      <c r="G20" s="19" t="n"/>
      <c r="H20" s="22" t="n"/>
    </row>
    <row r="21" ht="36" customHeight="1">
      <c r="A21" s="18" t="n"/>
      <c r="B21" s="46" t="n"/>
      <c r="C21" s="22" t="n"/>
      <c r="D21" s="19" t="n"/>
      <c r="E21" s="18" t="n"/>
      <c r="F21" s="18" t="n"/>
      <c r="G21" s="19" t="n"/>
      <c r="H21" s="22" t="n"/>
    </row>
  </sheetData>
  <mergeCells count="2">
    <mergeCell ref="A2:H2"/>
    <mergeCell ref="A1:H1"/>
  </mergeCells>
  <dataValidations count="2">
    <dataValidation sqref="E5:E100" showDropDown="0" showInputMessage="0" showErrorMessage="0" allowBlank="1" errorTitle="Valore non ammesso" error="Valore non ammesso" type="list">
      <formula1>"A,M,B"</formula1>
    </dataValidation>
    <dataValidation sqref="F5:F100" showDropDown="0" showInputMessage="0" showErrorMessage="0" allowBlank="1" errorTitle="Valore non ammesso" error="Valore non ammesso" type="list">
      <formula1>"CRITICA,ALTA,MEDIA,BASSA"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30"/>
  <sheetViews>
    <sheetView workbookViewId="0">
      <selection activeCell="A1" sqref="A1"/>
    </sheetView>
  </sheetViews>
  <sheetFormatPr baseColWidth="8" defaultRowHeight="15"/>
  <cols>
    <col width="14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</cols>
  <sheetData>
    <row r="1" ht="22" customHeight="1">
      <c r="A1" s="104" t="inlineStr">
        <is>
          <t>_Esempi — Riferimento di compilazione (Cost Model)</t>
        </is>
      </c>
    </row>
    <row r="2" ht="32" customHeight="1">
      <c r="A2" s="105" t="inlineStr">
        <is>
          <t>Esempi reali estratti dalla gara RAI – RFP Servizi a Progetto Sistemi Informativi (CIG BB2480578E). Servono per allineare formato, granularità e tono dei contenuti dei 5 sheet. NON copiare i valori — copia il PATTERN. IMPORTANTE: lo Sheet 0 è l'unico in cui si carica input; gli altri sono interamente formula-driven.</t>
        </is>
      </c>
    </row>
    <row r="3"/>
    <row r="4">
      <c r="A4" s="106" t="inlineStr">
        <is>
          <t>0. Parametri</t>
        </is>
      </c>
    </row>
    <row r="5">
      <c r="A5" s="107" t="inlineStr">
        <is>
          <t>Esempio VERDE — Economics di gara (parametro certo da Disciplinare)</t>
        </is>
      </c>
    </row>
    <row r="6">
      <c r="A6" s="108" t="inlineStr">
        <is>
          <t>col A</t>
        </is>
      </c>
      <c r="B6" s="109" t="inlineStr">
        <is>
          <t>1</t>
        </is>
      </c>
    </row>
    <row r="7">
      <c r="A7" s="108" t="inlineStr">
        <is>
          <t>col B</t>
        </is>
      </c>
      <c r="B7" s="109" t="inlineStr">
        <is>
          <t>Valore Appalto</t>
        </is>
      </c>
    </row>
    <row r="8">
      <c r="A8" s="108" t="inlineStr">
        <is>
          <t>col C</t>
        </is>
      </c>
      <c r="B8" s="109" t="inlineStr">
        <is>
          <t>Startup / affiancamento (3 mesi) — non ribassabile</t>
        </is>
      </c>
    </row>
    <row r="9">
      <c r="A9" s="108" t="inlineStr">
        <is>
          <t>col D</t>
        </is>
      </c>
      <c r="B9" s="109" t="inlineStr">
        <is>
          <t>341220</t>
        </is>
      </c>
    </row>
    <row r="10">
      <c r="A10" s="108" t="inlineStr">
        <is>
          <t>col E</t>
        </is>
      </c>
      <c r="B10" s="109" t="inlineStr">
        <is>
          <t>€</t>
        </is>
      </c>
    </row>
    <row r="11">
      <c r="A11" s="108" t="inlineStr">
        <is>
          <t>col F</t>
        </is>
      </c>
      <c r="B11" s="109" t="inlineStr">
        <is>
          <t>Disciplinare p.11-12</t>
        </is>
      </c>
    </row>
    <row r="12">
      <c r="A12" s="108" t="inlineStr">
        <is>
          <t>col G</t>
        </is>
      </c>
      <c r="B12" s="109" t="inlineStr">
        <is>
          <t>Una tantum, fisso</t>
        </is>
      </c>
    </row>
    <row r="13"/>
    <row r="14"/>
    <row r="15">
      <c r="A15" s="106" t="inlineStr">
        <is>
          <t>0. Parametri</t>
        </is>
      </c>
    </row>
    <row r="16">
      <c r="A16" s="107" t="inlineStr">
        <is>
          <t>Esempio GIALLO — Assunzione operativa (% ticket P1 MAC)</t>
        </is>
      </c>
    </row>
    <row r="17">
      <c r="A17" s="108" t="inlineStr">
        <is>
          <t>col A</t>
        </is>
      </c>
      <c r="B17" s="109" t="inlineStr">
        <is>
          <t>27</t>
        </is>
      </c>
    </row>
    <row r="18">
      <c r="A18" s="108" t="inlineStr">
        <is>
          <t>col B</t>
        </is>
      </c>
      <c r="B18" s="109" t="inlineStr">
        <is>
          <t>Volumi MAC</t>
        </is>
      </c>
    </row>
    <row r="19">
      <c r="A19" s="108" t="inlineStr">
        <is>
          <t>col C</t>
        </is>
      </c>
      <c r="B19" s="109" t="inlineStr">
        <is>
          <t>% ticket P1</t>
        </is>
      </c>
    </row>
    <row r="20">
      <c r="A20" s="108" t="inlineStr">
        <is>
          <t>col D</t>
        </is>
      </c>
      <c r="B20" s="109" t="inlineStr">
        <is>
          <t>0.05</t>
        </is>
      </c>
    </row>
    <row r="21">
      <c r="A21" s="108" t="inlineStr">
        <is>
          <t>col E</t>
        </is>
      </c>
      <c r="B21" s="109" t="inlineStr">
        <is>
          <t>%</t>
        </is>
      </c>
    </row>
    <row r="22">
      <c r="A22" s="108" t="inlineStr">
        <is>
          <t>col F</t>
        </is>
      </c>
      <c r="B22" s="109" t="inlineStr">
        <is>
          <t>Assunzione operativa</t>
        </is>
      </c>
    </row>
    <row r="23">
      <c r="A23" s="108" t="inlineStr">
        <is>
          <t>col G</t>
        </is>
      </c>
      <c r="B23" s="109" t="inlineStr">
        <is>
          <t>Sheet 6 #1 originale</t>
        </is>
      </c>
    </row>
    <row r="24"/>
    <row r="25"/>
    <row r="26">
      <c r="A26" s="106" t="inlineStr">
        <is>
          <t>0. Parametri</t>
        </is>
      </c>
    </row>
    <row r="27">
      <c r="A27" s="107" t="inlineStr">
        <is>
          <t>Esempio ROSSO — Bloccante (Volumi T&amp;M con incoerenza Capitolato vs Disciplinare)</t>
        </is>
      </c>
    </row>
    <row r="28">
      <c r="A28" s="108" t="inlineStr">
        <is>
          <t>col A</t>
        </is>
      </c>
      <c r="B28" s="109" t="inlineStr">
        <is>
          <t>11</t>
        </is>
      </c>
    </row>
    <row r="29">
      <c r="A29" s="108" t="inlineStr">
        <is>
          <t>col B</t>
        </is>
      </c>
      <c r="B29" s="109" t="inlineStr">
        <is>
          <t>Volumi T&amp;M</t>
        </is>
      </c>
    </row>
    <row r="30">
      <c r="A30" s="108" t="inlineStr">
        <is>
          <t>col C</t>
        </is>
      </c>
      <c r="B30" s="109" t="inlineStr">
        <is>
          <t>Architetto Applicativo — GG/U/anno</t>
        </is>
      </c>
    </row>
    <row r="31">
      <c r="A31" s="108" t="inlineStr">
        <is>
          <t>col D</t>
        </is>
      </c>
      <c r="B31" s="109" t="inlineStr">
        <is>
          <t>20</t>
        </is>
      </c>
    </row>
    <row r="32">
      <c r="A32" s="108" t="inlineStr">
        <is>
          <t>col E</t>
        </is>
      </c>
      <c r="B32" s="109" t="inlineStr">
        <is>
          <t>GG/U/anno</t>
        </is>
      </c>
    </row>
    <row r="33">
      <c r="A33" s="108" t="inlineStr">
        <is>
          <t>col F</t>
        </is>
      </c>
      <c r="B33" s="109" t="inlineStr">
        <is>
          <t>Capitolato p.36</t>
        </is>
      </c>
    </row>
    <row r="34">
      <c r="A34" s="108" t="inlineStr">
        <is>
          <t>col G</t>
        </is>
      </c>
      <c r="B34" s="109" t="inlineStr">
        <is>
          <t>Bloccante #1 non risolto: Disciplinare riporta 540 su 36m (~180/anno) ma usato 20/anno (fonte Capitolato p.36)</t>
        </is>
      </c>
    </row>
    <row r="35"/>
    <row r="36"/>
    <row r="37">
      <c r="A37" s="106" t="inlineStr">
        <is>
          <t>A. Stima Effort</t>
        </is>
      </c>
    </row>
    <row r="38">
      <c r="A38" s="107" t="inlineStr">
        <is>
          <t>Esempio servizio Canone con formula da driver (MAC)</t>
        </is>
      </c>
    </row>
    <row r="39">
      <c r="A39" s="108" t="inlineStr">
        <is>
          <t>col A</t>
        </is>
      </c>
      <c r="B39" s="109" t="inlineStr">
        <is>
          <t>MAC</t>
        </is>
      </c>
    </row>
    <row r="40">
      <c r="A40" s="108" t="inlineStr">
        <is>
          <t>col B</t>
        </is>
      </c>
      <c r="B40" s="109" t="inlineStr">
        <is>
          <t>Manutenzione Correttiva (mix profili)</t>
        </is>
      </c>
    </row>
    <row r="41">
      <c r="A41" s="108" t="inlineStr">
        <is>
          <t>col C</t>
        </is>
      </c>
      <c r="B41" s="109" t="inlineStr">
        <is>
          <t>Ticket × distribuzione × effort</t>
        </is>
      </c>
    </row>
    <row r="42">
      <c r="A42" s="108" t="inlineStr">
        <is>
          <t>col D</t>
        </is>
      </c>
      <c r="B42" s="109" t="inlineStr">
        <is>
          <t>(N×%P1×h1+...+N×%P4×h4)/8</t>
        </is>
      </c>
    </row>
    <row r="43">
      <c r="A43" s="108" t="inlineStr">
        <is>
          <t>col E</t>
        </is>
      </c>
      <c r="B43" s="109" t="inlineStr">
        <is>
          <t>↳ =('0. Parametri'!$D$37*'0. Parametri'!$D$38*'0. Parametri'!$D$42+'0. Parametri'!$D$37*'0. Parametri'!$D$39*'0. Parametri'!$D$43+'0. Parametri'!$D$37*'0. Parametri'!$D$40*'0. Parametri'!$D$44+'0. Parametri'!$D$37*'0. Parametri'!$D$41*'0. Parametri'!$D$45)/'0. Parametri'!$D$46</t>
        </is>
      </c>
    </row>
    <row r="44">
      <c r="A44" s="108" t="inlineStr">
        <is>
          <t>col F</t>
        </is>
      </c>
      <c r="B44" s="109" t="inlineStr">
        <is>
          <t>↳ =0</t>
        </is>
      </c>
    </row>
    <row r="45">
      <c r="A45" s="108" t="inlineStr">
        <is>
          <t>col G</t>
        </is>
      </c>
      <c r="B45" s="109" t="inlineStr">
        <is>
          <t>↳ =E6*3</t>
        </is>
      </c>
    </row>
    <row r="46">
      <c r="A46" s="108" t="inlineStr">
        <is>
          <t>col H</t>
        </is>
      </c>
      <c r="B46" s="109" t="inlineStr">
        <is>
          <t>↳ =F6+G6</t>
        </is>
      </c>
    </row>
    <row r="47">
      <c r="A47" s="108" t="inlineStr">
        <is>
          <t>col I</t>
        </is>
      </c>
      <c r="B47" s="109" t="inlineStr">
        <is>
          <t>Risposta RAI #1,2 + assunzione distribuzione</t>
        </is>
      </c>
    </row>
    <row r="48"/>
    <row r="49"/>
    <row r="50">
      <c r="A50" s="106" t="inlineStr">
        <is>
          <t>A. Stima Effort</t>
        </is>
      </c>
    </row>
    <row r="51">
      <c r="A51" s="107" t="inlineStr">
        <is>
          <t>Esempio servizio T&amp;M con volumi Capitolato (Architetto)</t>
        </is>
      </c>
    </row>
    <row r="52">
      <c r="A52" s="108" t="inlineStr">
        <is>
          <t>col A</t>
        </is>
      </c>
      <c r="B52" s="109" t="inlineStr">
        <is>
          <t>T&amp;M</t>
        </is>
      </c>
    </row>
    <row r="53">
      <c r="A53" s="108" t="inlineStr">
        <is>
          <t>col B</t>
        </is>
      </c>
      <c r="B53" s="109" t="inlineStr">
        <is>
          <t>Architetto Applicativo (T&amp;M)</t>
        </is>
      </c>
    </row>
    <row r="54">
      <c r="A54" s="108" t="inlineStr">
        <is>
          <t>col C</t>
        </is>
      </c>
      <c r="B54" s="109" t="inlineStr">
        <is>
          <t>Volumi indicativi Capitolato</t>
        </is>
      </c>
    </row>
    <row r="55">
      <c r="A55" s="108" t="inlineStr">
        <is>
          <t>col D</t>
        </is>
      </c>
      <c r="B55" s="109" t="inlineStr">
        <is>
          <t>20 GG/U/anno × 3 anni</t>
        </is>
      </c>
    </row>
    <row r="56">
      <c r="A56" s="108" t="inlineStr">
        <is>
          <t>col E</t>
        </is>
      </c>
      <c r="B56" s="109" t="inlineStr">
        <is>
          <t>↳ ='0. Parametri'!$D$19</t>
        </is>
      </c>
    </row>
    <row r="57">
      <c r="A57" s="108" t="inlineStr">
        <is>
          <t>col F</t>
        </is>
      </c>
      <c r="B57" s="109" t="inlineStr">
        <is>
          <t>0</t>
        </is>
      </c>
    </row>
    <row r="58">
      <c r="A58" s="108" t="inlineStr">
        <is>
          <t>col G</t>
        </is>
      </c>
      <c r="B58" s="109" t="inlineStr">
        <is>
          <t>↳ ='0. Parametri'!$D$19*'0. Parametri'!$D$62/12</t>
        </is>
      </c>
    </row>
    <row r="59">
      <c r="A59" s="108" t="inlineStr">
        <is>
          <t>col H</t>
        </is>
      </c>
      <c r="B59" s="109" t="inlineStr">
        <is>
          <t>↳ =F23+G23</t>
        </is>
      </c>
    </row>
    <row r="60">
      <c r="A60" s="108" t="inlineStr">
        <is>
          <t>col I</t>
        </is>
      </c>
      <c r="B60" s="109" t="inlineStr">
        <is>
          <t>Capitolato p.36 (vs Disciplinare p.13)</t>
        </is>
      </c>
    </row>
    <row r="61"/>
    <row r="62"/>
    <row r="63">
      <c r="A63" s="106" t="inlineStr">
        <is>
          <t>B. Cost Model</t>
        </is>
      </c>
    </row>
    <row r="64">
      <c r="A64" s="107" t="inlineStr">
        <is>
          <t>Esempio Ricavo Canone con ribasso applicato</t>
        </is>
      </c>
    </row>
    <row r="65">
      <c r="A65" s="108" t="inlineStr">
        <is>
          <t>col A</t>
        </is>
      </c>
      <c r="B65" s="109" t="inlineStr">
        <is>
          <t>Ricavo Canone Periodo Base (36m)</t>
        </is>
      </c>
    </row>
    <row r="66">
      <c r="A66" s="108" t="inlineStr">
        <is>
          <t>col B</t>
        </is>
      </c>
      <c r="B66" s="109" t="inlineStr">
        <is>
          <t>Lordo × (1 - ribasso)</t>
        </is>
      </c>
    </row>
    <row r="67">
      <c r="A67" s="108" t="inlineStr">
        <is>
          <t>col C</t>
        </is>
      </c>
      <c r="B67" s="109" t="inlineStr">
        <is>
          <t>↳ ='0. Parametri'!$D$8</t>
        </is>
      </c>
    </row>
    <row r="68">
      <c r="A68" s="108" t="inlineStr">
        <is>
          <t>col D</t>
        </is>
      </c>
      <c r="B68" s="109" t="inlineStr">
        <is>
          <t>↳ ='0. Parametri'!$D$66</t>
        </is>
      </c>
    </row>
    <row r="69">
      <c r="A69" s="108" t="inlineStr">
        <is>
          <t>col E</t>
        </is>
      </c>
      <c r="B69" s="109" t="inlineStr">
        <is>
          <t>↳ =C7*(1-D7)</t>
        </is>
      </c>
    </row>
    <row r="70">
      <c r="A70" s="108" t="inlineStr">
        <is>
          <t>col F</t>
        </is>
      </c>
      <c r="B70" s="109" t="inlineStr">
        <is>
          <t>Disciplinare p.11</t>
        </is>
      </c>
    </row>
    <row r="71">
      <c r="A71" s="108" t="inlineStr">
        <is>
          <t>col G</t>
        </is>
      </c>
      <c r="B71" s="109" t="inlineStr">
        <is>
          <t>DA DEFINIRE strategia ribasso</t>
        </is>
      </c>
    </row>
    <row r="72"/>
    <row r="73"/>
    <row r="74">
      <c r="A74" s="106" t="inlineStr">
        <is>
          <t>B. Cost Model</t>
        </is>
      </c>
    </row>
    <row r="75">
      <c r="A75" s="107" t="inlineStr">
        <is>
          <t>Esempio Costo team Canone periodo operativo</t>
        </is>
      </c>
    </row>
    <row r="76">
      <c r="A76" s="108" t="inlineStr">
        <is>
          <t>col A</t>
        </is>
      </c>
      <c r="B76" s="109" t="inlineStr">
        <is>
          <t>Costo team Canone — Periodo operativo (36m, 100%)</t>
        </is>
      </c>
    </row>
    <row r="77">
      <c r="A77" s="108" t="inlineStr">
        <is>
          <t>col B</t>
        </is>
      </c>
      <c r="B77" s="109" t="inlineStr">
        <is>
          <t>Σ(N×€/GG) × 220 × (36/12)</t>
        </is>
      </c>
    </row>
    <row r="78">
      <c r="A78" s="108" t="inlineStr">
        <is>
          <t>col C</t>
        </is>
      </c>
      <c r="B78" s="109" t="inlineStr">
        <is>
          <t>↳ =('0. Parametri'!$D$24*'0. Parametri'!$D$30+'0. Parametri'!$D$25*'0. Parametri'!$D$31+'0. Parametri'!$D$26*'0. Parametri'!$D$32+'0. Parametri'!$D$27*'0. Parametri'!$D$33+'0. Parametri'!$D$28*'0. Parametri'!$D$34)*'0. Parametri'!$D$60*('0. Parametri'!$D$62/12)</t>
        </is>
      </c>
    </row>
    <row r="79">
      <c r="A79" s="108" t="inlineStr">
        <is>
          <t>col F</t>
        </is>
      </c>
      <c r="B79" s="109" t="inlineStr">
        <is>
          <t>Sheet 0 §4-5</t>
        </is>
      </c>
    </row>
    <row r="80">
      <c r="A80" s="108" t="inlineStr">
        <is>
          <t>col G</t>
        </is>
      </c>
      <c r="B80" s="109" t="inlineStr">
        <is>
          <t>Costo del presidio fisso completo</t>
        </is>
      </c>
    </row>
    <row r="81"/>
    <row r="82"/>
    <row r="83">
      <c r="A83" s="106" t="inlineStr">
        <is>
          <t>C. Sensitivity Pricing</t>
        </is>
      </c>
    </row>
    <row r="84">
      <c r="A84" s="107" t="inlineStr">
        <is>
          <t>Esempio scenario predefinito (Base) + scenario Plafond pieno</t>
        </is>
      </c>
    </row>
    <row r="85">
      <c r="A85" s="108" t="inlineStr">
        <is>
          <t>col A</t>
        </is>
      </c>
      <c r="B85" s="109" t="inlineStr">
        <is>
          <t>Base</t>
        </is>
      </c>
    </row>
    <row r="86">
      <c r="A86" s="108" t="inlineStr">
        <is>
          <t>col B</t>
        </is>
      </c>
      <c r="B86" s="109" t="inlineStr">
        <is>
          <t>0.1</t>
        </is>
      </c>
    </row>
    <row r="87">
      <c r="A87" s="108" t="inlineStr">
        <is>
          <t>col C</t>
        </is>
      </c>
      <c r="B87" s="109" t="inlineStr">
        <is>
          <t>0.08</t>
        </is>
      </c>
    </row>
    <row r="88">
      <c r="A88" s="108" t="inlineStr">
        <is>
          <t>col D</t>
        </is>
      </c>
      <c r="B88" s="109" t="inlineStr">
        <is>
          <t>1</t>
        </is>
      </c>
    </row>
    <row r="89">
      <c r="A89" s="108" t="inlineStr">
        <is>
          <t>col E</t>
        </is>
      </c>
      <c r="B89" s="109" t="inlineStr">
        <is>
          <t>Capitolato</t>
        </is>
      </c>
    </row>
    <row r="90">
      <c r="A90" s="108" t="inlineStr">
        <is>
          <t>col F</t>
        </is>
      </c>
      <c r="B90" s="109" t="inlineStr">
        <is>
          <t>↳ ='0. Parametri'!$D$8*(1-B7)</t>
        </is>
      </c>
    </row>
    <row r="91">
      <c r="A91" s="108" t="inlineStr">
        <is>
          <t>col G</t>
        </is>
      </c>
      <c r="B91" s="109" t="inlineStr">
        <is>
          <t>↳ =(('0. Parametri'!$D$19*'0. Parametri'!$D$14+'0. Parametri'!$D$20*'0. Parametri'!$D$15+'0. Parametri'!$D$21*'0. Parametri'!$D$16+'0. Parametri'!$D$22*'0. Parametri'!$D$17)*('0. Parametri'!$D$62/12))*(1-C7)*D7</t>
        </is>
      </c>
    </row>
    <row r="92">
      <c r="A92" s="108" t="inlineStr">
        <is>
          <t>col H</t>
        </is>
      </c>
      <c r="B92" s="109" t="inlineStr">
        <is>
          <t>↳ ='0. Parametri'!$D$7+F7+G7+'0. Parametri'!$D$12</t>
        </is>
      </c>
    </row>
    <row r="93">
      <c r="A93" s="108" t="inlineStr">
        <is>
          <t>col I</t>
        </is>
      </c>
      <c r="B93" s="109" t="inlineStr">
        <is>
          <t>↳ =((('0. Parametri'!$D$24*'0. Parametri'!$D$30+'0. Parametri'!$D$25*'0. Parametri'!$D$31+'0. Parametri'!$D$26*'0. Parametri'!$D$32+'0. Parametri'!$D$27*'0. Parametri'!$D$33+'0. Parametri'!$D$28*'0. Parametri'!$D$34)*'0. Parametri'!$D$60*('0. Parametri'!$D$62/12+'0. Parametri'!$D$61/12*'0. Parametri'!$D$64))+(('0. Parametri'!$D$19*'0. Parametri'!$D$35+'0. Parametri'!$D$20*'0. Parametri'!$D$31+'0. Parametri'!$D$21*'0. Parametri'!$D$33+'0. Parametri'!$D$22*'0. Parametri'!$D$34)*('0. Parametri'!$D$62/12))*D7)*(1+('0. Parametri'!$D$70+'0. Parametri'!$D$71+'0. Parametri'!$D$72*1.5))</t>
        </is>
      </c>
    </row>
    <row r="94">
      <c r="A94" s="108" t="inlineStr">
        <is>
          <t>col J</t>
        </is>
      </c>
      <c r="B94" s="109" t="inlineStr">
        <is>
          <t>↳ =H7-I7</t>
        </is>
      </c>
    </row>
    <row r="95">
      <c r="A95" s="108" t="inlineStr">
        <is>
          <t>col K</t>
        </is>
      </c>
      <c r="B95" s="109" t="inlineStr">
        <is>
          <t>↳ =IF(H7=0,0,J7/H7)</t>
        </is>
      </c>
    </row>
    <row r="96">
      <c r="A96" s="108" t="inlineStr">
        <is>
          <t>col L</t>
        </is>
      </c>
      <c r="B96" s="109" t="inlineStr">
        <is>
          <t>Scenario di riferimento</t>
        </is>
      </c>
    </row>
    <row r="97"/>
    <row r="98">
      <c r="A98" s="108" t="inlineStr">
        <is>
          <t>col A</t>
        </is>
      </c>
      <c r="B98" s="109" t="inlineStr">
        <is>
          <t>Disciplinare-Plafond Base</t>
        </is>
      </c>
    </row>
    <row r="99">
      <c r="A99" s="108" t="inlineStr">
        <is>
          <t>col B</t>
        </is>
      </c>
      <c r="B99" s="109" t="inlineStr">
        <is>
          <t>0.1</t>
        </is>
      </c>
    </row>
    <row r="100">
      <c r="A100" s="108" t="inlineStr">
        <is>
          <t>col C</t>
        </is>
      </c>
      <c r="B100" s="109" t="inlineStr">
        <is>
          <t>0.08</t>
        </is>
      </c>
    </row>
    <row r="101">
      <c r="A101" s="108" t="inlineStr">
        <is>
          <t>col D</t>
        </is>
      </c>
      <c r="B101" s="109" t="inlineStr">
        <is>
          <t>1</t>
        </is>
      </c>
    </row>
    <row r="102">
      <c r="A102" s="108" t="inlineStr">
        <is>
          <t>col E</t>
        </is>
      </c>
      <c r="B102" s="109" t="inlineStr">
        <is>
          <t>Plafond</t>
        </is>
      </c>
    </row>
    <row r="103">
      <c r="A103" s="108" t="inlineStr">
        <is>
          <t>col F</t>
        </is>
      </c>
      <c r="B103" s="109" t="inlineStr">
        <is>
          <t>↳ ='0. Parametri'!$D$8*(1-B10)</t>
        </is>
      </c>
    </row>
    <row r="104">
      <c r="A104" s="108" t="inlineStr">
        <is>
          <t>col G</t>
        </is>
      </c>
      <c r="B104" s="109" t="inlineStr">
        <is>
          <t>↳ =('0. Parametri'!$D$9)*(1-C10)*D10</t>
        </is>
      </c>
    </row>
    <row r="105">
      <c r="A105" s="108" t="inlineStr">
        <is>
          <t>col H</t>
        </is>
      </c>
      <c r="B105" s="109" t="inlineStr">
        <is>
          <t>↳ ='0. Parametri'!$D$7+F10+G10+'0. Parametri'!$D$12</t>
        </is>
      </c>
    </row>
    <row r="106">
      <c r="A106" s="108" t="inlineStr">
        <is>
          <t>col I</t>
        </is>
      </c>
      <c r="B106" s="109" t="inlineStr">
        <is>
          <t>↳ =((('0. Parametri'!$D$24*'0. Parametri'!$D$30+'0. Parametri'!$D$25*'0. Parametri'!$D$31+'0. Parametri'!$D$26*'0. Parametri'!$D$32+'0. Parametri'!$D$27*'0. Parametri'!$D$33+'0. Parametri'!$D$28*'0. Parametri'!$D$34)*'0. Parametri'!$D$60*('0. Parametri'!$D$62/12+'0. Parametri'!$D$61/12*'0. Parametri'!$D$64))+(('0. Parametri'!$D$19*'0. Parametri'!$D$35+'0. Parametri'!$D$20*'0. Parametri'!$D$31+'0. Parametri'!$D$21*'0. Parametri'!$D$33+'0. Parametri'!$D$22*'0. Parametri'!$D$34)*('0. Parametri'!$D$62/12))*(('0. Parametri'!$D$9*D10)/('0. Parametri'!$D$19*'0. Parametri'!$D$14+'0. Parametri'!$D$20*'0. Parametri'!$D$15+'0. Parametri'!$D$21*'0. Parametri'!$D$16+'0. Parametri'!$D$22*'0. Parametri'!$D$17)*('0. Parametri'!$D$62/12)))*(1+('0. Parametri'!$D$70+'0. Parametri'!$D$71+'0. Parametri'!$D$72*1.5))</t>
        </is>
      </c>
    </row>
    <row r="107">
      <c r="A107" s="108" t="inlineStr">
        <is>
          <t>col J</t>
        </is>
      </c>
      <c r="B107" s="109" t="inlineStr">
        <is>
          <t>↳ =H10-I10</t>
        </is>
      </c>
    </row>
    <row r="108">
      <c r="A108" s="108" t="inlineStr">
        <is>
          <t>col K</t>
        </is>
      </c>
      <c r="B108" s="109" t="inlineStr">
        <is>
          <t>↳ =IF(H10=0,0,J10/H10)</t>
        </is>
      </c>
    </row>
    <row r="109">
      <c r="A109" s="108" t="inlineStr">
        <is>
          <t>col L</t>
        </is>
      </c>
      <c r="B109" s="109" t="inlineStr">
        <is>
          <t>Se RAI utilizza plafond pieno</t>
        </is>
      </c>
    </row>
    <row r="110"/>
    <row r="111"/>
    <row r="112">
      <c r="A112" s="106" t="inlineStr">
        <is>
          <t>D. Risk Register Stima</t>
        </is>
      </c>
    </row>
    <row r="113">
      <c r="A113" s="107" t="inlineStr">
        <is>
          <t>Esempi rischio: Bloccante CRITICA + assunzione effort MEDIA</t>
        </is>
      </c>
    </row>
    <row r="114">
      <c r="A114" s="108" t="inlineStr">
        <is>
          <t>col A</t>
        </is>
      </c>
      <c r="B114" s="109" t="inlineStr">
        <is>
          <t>1</t>
        </is>
      </c>
    </row>
    <row r="115">
      <c r="A115" s="108" t="inlineStr">
        <is>
          <t>col B</t>
        </is>
      </c>
      <c r="B115" s="109" t="inlineStr">
        <is>
          <t>Bloccante #1 NON RISOLTO — Volumi T&amp;M (Capitolato vs Disciplinare)</t>
        </is>
      </c>
    </row>
    <row r="116">
      <c r="A116" s="108" t="inlineStr">
        <is>
          <t>col C</t>
        </is>
      </c>
      <c r="B116" s="109" t="inlineStr">
        <is>
          <t>Sheet 8 #1 rosso. Adottato Capitolato (S1).</t>
        </is>
      </c>
    </row>
    <row r="117">
      <c r="A117" s="108" t="inlineStr">
        <is>
          <t>col D</t>
        </is>
      </c>
      <c r="B117" s="109" t="inlineStr">
        <is>
          <t>+/- €2.6 M (≈ 91% revenue T&amp;M)</t>
        </is>
      </c>
    </row>
    <row r="118">
      <c r="A118" s="108" t="inlineStr">
        <is>
          <t>col E</t>
        </is>
      </c>
      <c r="B118" s="109" t="inlineStr">
        <is>
          <t>A</t>
        </is>
      </c>
    </row>
    <row r="119">
      <c r="A119" s="108" t="inlineStr">
        <is>
          <t>col F</t>
        </is>
      </c>
      <c r="B119" s="109" t="inlineStr">
        <is>
          <t>CRITICA</t>
        </is>
      </c>
    </row>
    <row r="120">
      <c r="A120" s="108" t="inlineStr">
        <is>
          <t>col G</t>
        </is>
      </c>
      <c r="B120" s="109" t="inlineStr">
        <is>
          <t>Inviare formal clarification a RAI; preparare offerta alternativa per scenario Disciplinare.</t>
        </is>
      </c>
    </row>
    <row r="121">
      <c r="A121" s="108" t="inlineStr">
        <is>
          <t>col H</t>
        </is>
      </c>
      <c r="B121" s="109" t="inlineStr">
        <is>
          <t>Bid Manager</t>
        </is>
      </c>
    </row>
    <row r="122"/>
    <row r="123">
      <c r="A123" s="108" t="inlineStr">
        <is>
          <t>col A</t>
        </is>
      </c>
      <c r="B123" s="109" t="inlineStr">
        <is>
          <t>9</t>
        </is>
      </c>
    </row>
    <row r="124">
      <c r="A124" s="108" t="inlineStr">
        <is>
          <t>col B</t>
        </is>
      </c>
      <c r="B124" s="109" t="inlineStr">
        <is>
          <t>Effort GES/GST/CON da benchmark, non da risposta RAI</t>
        </is>
      </c>
    </row>
    <row r="125">
      <c r="A125" s="108" t="inlineStr">
        <is>
          <t>col C</t>
        </is>
      </c>
      <c r="B125" s="109" t="inlineStr">
        <is>
          <t>Sheet 0 §7 — assunzioni operative S5.</t>
        </is>
      </c>
    </row>
    <row r="126">
      <c r="A126" s="108" t="inlineStr">
        <is>
          <t>col D</t>
        </is>
      </c>
      <c r="B126" s="109" t="inlineStr">
        <is>
          <t>Effort canone ±10-15%</t>
        </is>
      </c>
    </row>
    <row r="127">
      <c r="A127" s="108" t="inlineStr">
        <is>
          <t>col E</t>
        </is>
      </c>
      <c r="B127" s="109" t="inlineStr">
        <is>
          <t>M</t>
        </is>
      </c>
    </row>
    <row r="128">
      <c r="A128" s="108" t="inlineStr">
        <is>
          <t>col F</t>
        </is>
      </c>
      <c r="B128" s="109" t="inlineStr">
        <is>
          <t>MEDIA</t>
        </is>
      </c>
    </row>
    <row r="129">
      <c r="A129" s="108" t="inlineStr">
        <is>
          <t>col G</t>
        </is>
      </c>
      <c r="B129" s="109" t="inlineStr">
        <is>
          <t>Validare con interlocutore tecnico RAI; aggiungere cushion in offerta.</t>
        </is>
      </c>
    </row>
    <row r="130">
      <c r="A130" s="108" t="inlineStr">
        <is>
          <t>col H</t>
        </is>
      </c>
      <c r="B130" s="109" t="inlineStr">
        <is>
          <t>Solution Architect</t>
        </is>
      </c>
    </row>
  </sheetData>
  <mergeCells count="111">
    <mergeCell ref="B127:H127"/>
    <mergeCell ref="B40:H40"/>
    <mergeCell ref="A83:H83"/>
    <mergeCell ref="B55:H55"/>
    <mergeCell ref="B95:H95"/>
    <mergeCell ref="B33:H33"/>
    <mergeCell ref="B104:H104"/>
    <mergeCell ref="B32:H32"/>
    <mergeCell ref="B41:H41"/>
    <mergeCell ref="B106:H106"/>
    <mergeCell ref="B129:H129"/>
    <mergeCell ref="A75:H75"/>
    <mergeCell ref="B90:H90"/>
    <mergeCell ref="A50:H50"/>
    <mergeCell ref="B66:H66"/>
    <mergeCell ref="B18:H18"/>
    <mergeCell ref="B58:H58"/>
    <mergeCell ref="B52:H52"/>
    <mergeCell ref="B130:H130"/>
    <mergeCell ref="A5:H5"/>
    <mergeCell ref="B11:H11"/>
    <mergeCell ref="B42:H42"/>
    <mergeCell ref="B60:H60"/>
    <mergeCell ref="A38:H38"/>
    <mergeCell ref="B44:H44"/>
    <mergeCell ref="B53:H53"/>
    <mergeCell ref="B116:H116"/>
    <mergeCell ref="B29:H29"/>
    <mergeCell ref="B103:H103"/>
    <mergeCell ref="B108:H108"/>
    <mergeCell ref="A15:H15"/>
    <mergeCell ref="B118:H118"/>
    <mergeCell ref="A51:H51"/>
    <mergeCell ref="B6:H6"/>
    <mergeCell ref="B80:H80"/>
    <mergeCell ref="B89:H89"/>
    <mergeCell ref="B79:H79"/>
    <mergeCell ref="A16:H16"/>
    <mergeCell ref="B54:H54"/>
    <mergeCell ref="B125:H125"/>
    <mergeCell ref="B7:H7"/>
    <mergeCell ref="A84:H84"/>
    <mergeCell ref="A27:H27"/>
    <mergeCell ref="B121:H121"/>
    <mergeCell ref="B56:H56"/>
    <mergeCell ref="B71:H71"/>
    <mergeCell ref="B96:H96"/>
    <mergeCell ref="B105:H105"/>
    <mergeCell ref="A2:H2"/>
    <mergeCell ref="B43:H43"/>
    <mergeCell ref="B120:H120"/>
    <mergeCell ref="B98:H98"/>
    <mergeCell ref="B107:H107"/>
    <mergeCell ref="B8:H8"/>
    <mergeCell ref="B17:H17"/>
    <mergeCell ref="B57:H57"/>
    <mergeCell ref="B88:H88"/>
    <mergeCell ref="A112:H112"/>
    <mergeCell ref="B10:H10"/>
    <mergeCell ref="B19:H19"/>
    <mergeCell ref="B34:H34"/>
    <mergeCell ref="B28:H28"/>
    <mergeCell ref="B99:H99"/>
    <mergeCell ref="B9:H9"/>
    <mergeCell ref="B68:H68"/>
    <mergeCell ref="A64:H64"/>
    <mergeCell ref="B92:H92"/>
    <mergeCell ref="B30:H30"/>
    <mergeCell ref="B124:H124"/>
    <mergeCell ref="B20:H20"/>
    <mergeCell ref="B76:H76"/>
    <mergeCell ref="B45:H45"/>
    <mergeCell ref="B85:H85"/>
    <mergeCell ref="B94:H94"/>
    <mergeCell ref="B126:H126"/>
    <mergeCell ref="B109:H109"/>
    <mergeCell ref="B47:H47"/>
    <mergeCell ref="B59:H59"/>
    <mergeCell ref="B31:H31"/>
    <mergeCell ref="B46:H46"/>
    <mergeCell ref="A74:H74"/>
    <mergeCell ref="A26:H26"/>
    <mergeCell ref="B21:H21"/>
    <mergeCell ref="B39:H39"/>
    <mergeCell ref="B70:H70"/>
    <mergeCell ref="B23:H23"/>
    <mergeCell ref="A63:H63"/>
    <mergeCell ref="B87:H87"/>
    <mergeCell ref="B128:H128"/>
    <mergeCell ref="B65:H65"/>
    <mergeCell ref="A1:H1"/>
    <mergeCell ref="B114:H114"/>
    <mergeCell ref="B123:H123"/>
    <mergeCell ref="B91:H91"/>
    <mergeCell ref="B100:H100"/>
    <mergeCell ref="A37:H37"/>
    <mergeCell ref="B22:H22"/>
    <mergeCell ref="B115:H115"/>
    <mergeCell ref="B93:H93"/>
    <mergeCell ref="B102:H102"/>
    <mergeCell ref="A113:H113"/>
    <mergeCell ref="B12:H12"/>
    <mergeCell ref="B77:H77"/>
    <mergeCell ref="B86:H86"/>
    <mergeCell ref="B117:H117"/>
    <mergeCell ref="B67:H67"/>
    <mergeCell ref="A4:H4"/>
    <mergeCell ref="B101:H101"/>
    <mergeCell ref="B119:H119"/>
    <mergeCell ref="B69:H69"/>
    <mergeCell ref="B78:H7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2026-05-06T10:40:07Z</dcterms:created>
  <dcterms:modified xmlns:dcterms="http://purl.org/dc/terms/" xmlns:xsi="http://www.w3.org/2001/XMLSchema-instance" xsi:type="dcterms:W3CDTF">2026-05-19T09:19:13Z</dcterms:modified>
</cp:coreProperties>
</file>